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<sst xmlns="http://schemas.openxmlformats.org/spreadsheetml/2006/main" count="452" uniqueCount="134">
  <si>
    <t xml:space="preserve">Deposit</t>
  </si>
  <si>
    <t xml:space="preserve">#FDB</t>
  </si>
  <si>
    <t xml:space="preserve">Date</t>
  </si>
  <si>
    <t xml:space="preserve">Funding</t>
  </si>
  <si>
    <t xml:space="preserve">SAR</t>
  </si>
  <si>
    <t xml:space="preserve">USD</t>
  </si>
  <si>
    <t xml:space="preserve">Rate</t>
  </si>
  <si>
    <t xml:space="preserve">24/05/2023</t>
  </si>
  <si>
    <t xml:space="preserve">Bank</t>
  </si>
  <si>
    <t xml:space="preserve">25/05/2023</t>
  </si>
  <si>
    <t xml:space="preserve">29/05/2023</t>
  </si>
  <si>
    <t xml:space="preserve">30/05/2023</t>
  </si>
  <si>
    <t xml:space="preserve">02/06/2023</t>
  </si>
  <si>
    <t xml:space="preserve">07/06/2023</t>
  </si>
  <si>
    <t xml:space="preserve">23/06/2023</t>
  </si>
  <si>
    <t xml:space="preserve">06/07/2023</t>
  </si>
  <si>
    <t xml:space="preserve">09/08/2023</t>
  </si>
  <si>
    <t xml:space="preserve">11/09/2023</t>
  </si>
  <si>
    <t xml:space="preserve">12/09/2023</t>
  </si>
  <si>
    <t xml:space="preserve">20/11/2023</t>
  </si>
  <si>
    <t xml:space="preserve">Profit</t>
  </si>
  <si>
    <t xml:space="preserve">11/01/2024</t>
  </si>
  <si>
    <t xml:space="preserve">12/01/2024</t>
  </si>
  <si>
    <t xml:space="preserve">26/01/2024</t>
  </si>
  <si>
    <t xml:space="preserve">04/03/2024</t>
  </si>
  <si>
    <t xml:space="preserve">13/03/2024</t>
  </si>
  <si>
    <t xml:space="preserve">05/04/2024</t>
  </si>
  <si>
    <t xml:space="preserve">16/04/2024</t>
  </si>
  <si>
    <t xml:space="preserve">30/04/2024</t>
  </si>
  <si>
    <t xml:space="preserve">01/05/2024</t>
  </si>
  <si>
    <t xml:space="preserve">07/08/2024</t>
  </si>
  <si>
    <t xml:space="preserve">02/10/2024</t>
  </si>
  <si>
    <t xml:space="preserve">21/10/2025</t>
  </si>
  <si>
    <t xml:space="preserve">06/03/2025</t>
  </si>
  <si>
    <t xml:space="preserve">#FDE</t>
  </si>
  <si>
    <t xml:space="preserve">Sub Total</t>
  </si>
  <si>
    <t xml:space="preserve">#FWB</t>
  </si>
  <si>
    <t xml:space="preserve">Withdraw</t>
  </si>
  <si>
    <t xml:space="preserve">26/05/2023</t>
  </si>
  <si>
    <t xml:space="preserve">Sub</t>
  </si>
  <si>
    <t xml:space="preserve">30/07/2024</t>
  </si>
  <si>
    <t xml:space="preserve">11/11/2024</t>
  </si>
  <si>
    <t xml:space="preserve">#FWE</t>
  </si>
  <si>
    <t xml:space="preserve">Total</t>
  </si>
  <si>
    <t xml:space="preserve">Open Position</t>
  </si>
  <si>
    <t xml:space="preserve">BUY</t>
  </si>
  <si>
    <t xml:space="preserve">#TBB</t>
  </si>
  <si>
    <t xml:space="preserve">Symbol</t>
  </si>
  <si>
    <t xml:space="preserve">Filled Qty</t>
  </si>
  <si>
    <t xml:space="preserve">Price</t>
  </si>
  <si>
    <t xml:space="preserve">Fees</t>
  </si>
  <si>
    <t xml:space="preserve">VAT</t>
  </si>
  <si>
    <t xml:space="preserve">Cut Loss At</t>
  </si>
  <si>
    <t xml:space="preserve">Cost Value</t>
  </si>
  <si>
    <t xml:space="preserve">20/07/2023</t>
  </si>
  <si>
    <t xml:space="preserve">$TSLA</t>
  </si>
  <si>
    <t xml:space="preserve">14/08/2023</t>
  </si>
  <si>
    <t xml:space="preserve">15/08/2023</t>
  </si>
  <si>
    <t xml:space="preserve">16/08/2023</t>
  </si>
  <si>
    <t xml:space="preserve">22/08/2023</t>
  </si>
  <si>
    <t xml:space="preserve">13/09/2023</t>
  </si>
  <si>
    <t xml:space="preserve">14/09/2023</t>
  </si>
  <si>
    <t xml:space="preserve">15/09/2023</t>
  </si>
  <si>
    <t xml:space="preserve">04/10/2023</t>
  </si>
  <si>
    <t xml:space="preserve">05/10/2023</t>
  </si>
  <si>
    <t xml:space="preserve">16/10/2023</t>
  </si>
  <si>
    <t xml:space="preserve">06/10/2023</t>
  </si>
  <si>
    <t xml:space="preserve">09/10/2023</t>
  </si>
  <si>
    <t xml:space="preserve">10/10/2023</t>
  </si>
  <si>
    <t xml:space="preserve">11/10/2023</t>
  </si>
  <si>
    <t xml:space="preserve">12/10/2023</t>
  </si>
  <si>
    <t xml:space="preserve">13/12/2023</t>
  </si>
  <si>
    <t xml:space="preserve">14/12/2023</t>
  </si>
  <si>
    <t xml:space="preserve">20/12/2023</t>
  </si>
  <si>
    <t xml:space="preserve">27/12/2023</t>
  </si>
  <si>
    <t xml:space="preserve">28/12/2023</t>
  </si>
  <si>
    <t xml:space="preserve">01/02/2024</t>
  </si>
  <si>
    <t xml:space="preserve">29/01/2024</t>
  </si>
  <si>
    <t xml:space="preserve">14/03/2024</t>
  </si>
  <si>
    <t xml:space="preserve">20/03/2024</t>
  </si>
  <si>
    <t xml:space="preserve">28/06/2024</t>
  </si>
  <si>
    <t xml:space="preserve">02/04/2024</t>
  </si>
  <si>
    <t xml:space="preserve">11/07/2024</t>
  </si>
  <si>
    <t xml:space="preserve">12/07/2024</t>
  </si>
  <si>
    <t xml:space="preserve">15/07/2024</t>
  </si>
  <si>
    <t xml:space="preserve">19/07/2024</t>
  </si>
  <si>
    <t xml:space="preserve">05/09/2024</t>
  </si>
  <si>
    <t xml:space="preserve">03/10/2024</t>
  </si>
  <si>
    <t xml:space="preserve">23/09/2024</t>
  </si>
  <si>
    <t xml:space="preserve">26/09/2024</t>
  </si>
  <si>
    <t xml:space="preserve">01/10/2024</t>
  </si>
  <si>
    <t xml:space="preserve">31/12/2024</t>
  </si>
  <si>
    <t xml:space="preserve">14/01/2025</t>
  </si>
  <si>
    <t xml:space="preserve">16/01/2025</t>
  </si>
  <si>
    <t xml:space="preserve">21/01/2025</t>
  </si>
  <si>
    <t xml:space="preserve">06/02/2025</t>
  </si>
  <si>
    <t xml:space="preserve">21/02/2025</t>
  </si>
  <si>
    <t xml:space="preserve">07/03/2025</t>
  </si>
  <si>
    <t xml:space="preserve">02/10/2025</t>
  </si>
  <si>
    <t xml:space="preserve">03/10/2025</t>
  </si>
  <si>
    <t xml:space="preserve">10/10/2025</t>
  </si>
  <si>
    <t xml:space="preserve">08/07/2024</t>
  </si>
  <si>
    <t xml:space="preserve">08/12/2025</t>
  </si>
  <si>
    <t xml:space="preserve">10/12/2025</t>
  </si>
  <si>
    <t xml:space="preserve">#TBE</t>
  </si>
  <si>
    <t xml:space="preserve">SELL</t>
  </si>
  <si>
    <t xml:space="preserve">#TSB</t>
  </si>
  <si>
    <t xml:space="preserve">Market Value</t>
  </si>
  <si>
    <t xml:space="preserve">18/07/2023</t>
  </si>
  <si>
    <t xml:space="preserve">21/08/2023</t>
  </si>
  <si>
    <t xml:space="preserve">01/09/2023</t>
  </si>
  <si>
    <t xml:space="preserve">05/09/2023</t>
  </si>
  <si>
    <t xml:space="preserve">08/09/2023</t>
  </si>
  <si>
    <t xml:space="preserve">29/09/2023</t>
  </si>
  <si>
    <t xml:space="preserve">19/03/2024</t>
  </si>
  <si>
    <t xml:space="preserve">27/06/2024</t>
  </si>
  <si>
    <t xml:space="preserve">02/07/2024</t>
  </si>
  <si>
    <t xml:space="preserve">09/07/2024</t>
  </si>
  <si>
    <t xml:space="preserve">16/07/2024</t>
  </si>
  <si>
    <t xml:space="preserve">17/07/2024</t>
  </si>
  <si>
    <t xml:space="preserve">18/07/2024</t>
  </si>
  <si>
    <t xml:space="preserve">1//07/2024</t>
  </si>
  <si>
    <t xml:space="preserve">20/09/2024</t>
  </si>
  <si>
    <t xml:space="preserve">17/12/2024</t>
  </si>
  <si>
    <t xml:space="preserve">03/01/2025</t>
  </si>
  <si>
    <t xml:space="preserve">07/01/2025</t>
  </si>
  <si>
    <t xml:space="preserve">17/01/2025</t>
  </si>
  <si>
    <t xml:space="preserve">30/01/2025</t>
  </si>
  <si>
    <t xml:space="preserve">12/09/2025</t>
  </si>
  <si>
    <t xml:space="preserve">15/09/2025</t>
  </si>
  <si>
    <t xml:space="preserve">07/10/2025</t>
  </si>
  <si>
    <t xml:space="preserve">17/10/2025</t>
  </si>
  <si>
    <t xml:space="preserve">31/10/2025</t>
  </si>
  <si>
    <t xml:space="preserve">#TSE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</si>
</sst>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0.0000"/>
    <numFmt numFmtId="167" formatCode="#,##0.00"/>
    <numFmt numFmtId="168" formatCode="0.00"/>
  </numFmts>
  <fonts count="13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sz val="8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theme="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name val="Arial"/>
      <family val="2"/>
      <charset val="1"/>
    </font>
    <font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CCCCCC"/>
        <bgColor rgb="FFD9D9D9"/>
      </patternFill>
    </fill>
    <fill>
      <patternFill patternType="solid">
        <fgColor theme="4"/>
        <bgColor rgb="FF00A933"/>
      </patternFill>
    </fill>
    <fill>
      <patternFill patternType="solid">
        <fgColor rgb="FFFFFFFF"/>
        <bgColor rgb="FFF3F3F3"/>
      </patternFill>
    </fill>
    <fill>
      <patternFill patternType="solid">
        <fgColor rgb="FFF3F3F3"/>
        <bgColor rgb="FFFFFFFF"/>
      </patternFill>
    </fill>
    <fill>
      <patternFill patternType="solid">
        <fgColor rgb="FFD9D9D9"/>
        <bgColor rgb="FFCCCCCC"/>
      </patternFill>
    </fill>
    <fill>
      <patternFill patternType="solid">
        <fgColor rgb="FF00A933"/>
        <bgColor rgb="FF18A303"/>
      </patternFill>
    </fill>
    <fill>
      <patternFill patternType="solid">
        <fgColor rgb="FFB6D7A8"/>
        <bgColor rgb="FFCCCCCC"/>
      </patternFill>
    </fill>
    <fill>
      <patternFill patternType="solid">
        <fgColor rgb="FFFFE599"/>
        <bgColor rgb="FFFFF2CC"/>
      </patternFill>
    </fill>
    <fill>
      <patternFill patternType="solid">
        <fgColor rgb="FFF1C232"/>
        <bgColor rgb="FFE6B8AF"/>
      </patternFill>
    </fill>
    <fill>
      <patternFill patternType="solid">
        <fgColor rgb="FFBF9000"/>
        <bgColor rgb="FF808000"/>
      </patternFill>
    </fill>
    <fill>
      <patternFill patternType="solid">
        <fgColor rgb="FFFFF2CC"/>
        <bgColor rgb="FFF3F3F3"/>
      </patternFill>
    </fill>
    <fill>
      <patternFill patternType="solid">
        <fgColor rgb="FFB2B2B2"/>
        <bgColor rgb="FFCCCCCC"/>
      </patternFill>
    </fill>
    <fill>
      <patternFill patternType="solid">
        <fgColor rgb="FFFF0000"/>
        <bgColor rgb="FFEA4335"/>
      </patternFill>
    </fill>
    <fill>
      <patternFill patternType="solid">
        <fgColor rgb="FFE6B8AF"/>
        <bgColor rgb="FFCCCC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2A6099"/>
      </left>
      <right style="thin">
        <color rgb="FF2A6099"/>
      </right>
      <top style="thin">
        <color rgb="FF2A6099"/>
      </top>
      <bottom style="thin">
        <color rgb="FF2A6099"/>
      </bottom>
      <diagonal/>
    </border>
    <border diagonalUp="false" diagonalDown="false">
      <left style="thin">
        <color rgb="FF2A6099"/>
      </left>
      <right style="thin">
        <color rgb="FF2A6099"/>
      </right>
      <top/>
      <bottom style="thin">
        <color rgb="FF2A6099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111111"/>
      </left>
      <right style="thin">
        <color rgb="FF111111"/>
      </right>
      <top style="thin">
        <color rgb="FF111111"/>
      </top>
      <bottom style="thin">
        <color rgb="FF111111"/>
      </bottom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3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false" indent="0" shrinkToFit="false" readingOrder="2"/>
      <protection locked="true" hidden="false"/>
    </xf>
    <xf numFmtId="165" fontId="6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4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center" vertical="center" textRotation="0" wrapText="false" indent="0" shrinkToFit="false" readingOrder="2"/>
      <protection locked="true" hidden="false"/>
    </xf>
    <xf numFmtId="165" fontId="6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5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true">
      <alignment horizontal="center" vertical="center" textRotation="0" wrapText="false" indent="0" shrinkToFit="false" readingOrder="2"/>
      <protection locked="true" hidden="false"/>
    </xf>
    <xf numFmtId="167" fontId="6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5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7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8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" fillId="8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7" fillId="8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4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4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" fillId="4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7" fillId="4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9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" fillId="9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7" fillId="9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1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" fillId="1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7" fillId="1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11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1" fillId="11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1" fillId="11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8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2" fillId="8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1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" fillId="1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14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5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15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7" fillId="15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7" fillId="15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1" fillId="14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2" fillId="4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2" fillId="15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2" fillId="15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FFFFFF"/>
      </font>
      <fill>
        <patternFill>
          <bgColor rgb="FFEA433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8A303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F3F3F3"/>
      <rgbColor rgb="FF660066"/>
      <rgbColor rgb="FFFF8080"/>
      <rgbColor rgb="FF2A6099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6D7A8"/>
      <rgbColor rgb="FFE6B8AF"/>
      <rgbColor rgb="FFCC99FF"/>
      <rgbColor rgb="FFFFE599"/>
      <rgbColor rgb="FF3366FF"/>
      <rgbColor rgb="FF33CCCC"/>
      <rgbColor rgb="FF99CC00"/>
      <rgbColor rgb="FFF1C232"/>
      <rgbColor rgb="FFBF9000"/>
      <rgbColor rgb="FFEA4335"/>
      <rgbColor rgb="FF666699"/>
      <rgbColor rgb="FFB2B2B2"/>
      <rgbColor rgb="FF003366"/>
      <rgbColor rgb="FF00A933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N227"/>
  <sheetViews>
    <sheetView showFormulas="false" showGridLines="true" showRowColHeaders="true" showZeros="true" rightToLeft="false" tabSelected="true" showOutlineSymbols="true" defaultGridColor="true" view="normal" topLeftCell="A72" colorId="64" zoomScale="100" zoomScaleNormal="100" zoomScalePageLayoutView="100" workbookViewId="0">
      <selection pane="topLeft" activeCell="A138" activeCellId="0" sqref="A138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1" min="1" style="1" width="11.53"/>
    <col collapsed="false" customWidth="true" hidden="false" outlineLevel="0" max="9" min="9" style="2" width="14.74"/>
    <col collapsed="false" customWidth="true" hidden="false" outlineLevel="0" max="10" min="10" style="2" width="15.02"/>
    <col collapsed="false" customWidth="true" hidden="false" outlineLevel="0" max="11" min="11" style="2" width="13.63"/>
  </cols>
  <sheetData>
    <row r="3" customFormat="false" ht="13.8" hidden="false" customHeight="false" outlineLevel="0" collapsed="false">
      <c r="A3" s="3"/>
      <c r="B3" s="4"/>
      <c r="C3" s="5" t="s">
        <v>0</v>
      </c>
      <c r="D3" s="5"/>
      <c r="E3" s="5"/>
      <c r="F3" s="5"/>
      <c r="G3" s="5"/>
    </row>
    <row r="4" customFormat="false" ht="13.8" hidden="false" customHeight="false" outlineLevel="0" collapsed="false">
      <c r="A4" s="3" t="s">
        <v>1</v>
      </c>
      <c r="B4" s="6"/>
      <c r="C4" s="7" t="s">
        <v>2</v>
      </c>
      <c r="D4" s="8" t="s">
        <v>3</v>
      </c>
      <c r="E4" s="8" t="s">
        <v>4</v>
      </c>
      <c r="F4" s="8" t="s">
        <v>5</v>
      </c>
      <c r="G4" s="9" t="s">
        <v>6</v>
      </c>
    </row>
    <row r="5" customFormat="false" ht="13.8" hidden="false" customHeight="false" outlineLevel="0" collapsed="false">
      <c r="A5" s="3"/>
      <c r="B5" s="10" t="n">
        <f aca="false">B4+1</f>
        <v>1</v>
      </c>
      <c r="C5" s="11" t="s">
        <v>7</v>
      </c>
      <c r="D5" s="12" t="s">
        <v>8</v>
      </c>
      <c r="E5" s="12" t="n">
        <v>700</v>
      </c>
      <c r="F5" s="12" t="n">
        <v>186.41</v>
      </c>
      <c r="G5" s="13" t="n">
        <f aca="false">E5/F5</f>
        <v>3.75516334960571</v>
      </c>
    </row>
    <row r="6" customFormat="false" ht="13.8" hidden="false" customHeight="false" outlineLevel="0" collapsed="false">
      <c r="A6" s="3"/>
      <c r="B6" s="14" t="n">
        <f aca="false">B5+1</f>
        <v>2</v>
      </c>
      <c r="C6" s="15" t="s">
        <v>9</v>
      </c>
      <c r="D6" s="16" t="s">
        <v>8</v>
      </c>
      <c r="E6" s="16" t="n">
        <v>3000</v>
      </c>
      <c r="F6" s="16" t="n">
        <v>798.91</v>
      </c>
      <c r="G6" s="17" t="n">
        <f aca="false">E6/F6</f>
        <v>3.75511634602145</v>
      </c>
    </row>
    <row r="7" customFormat="false" ht="13.8" hidden="false" customHeight="false" outlineLevel="0" collapsed="false">
      <c r="A7" s="3"/>
      <c r="B7" s="10" t="n">
        <f aca="false">B6+1</f>
        <v>3</v>
      </c>
      <c r="C7" s="11" t="s">
        <v>10</v>
      </c>
      <c r="D7" s="12" t="s">
        <v>8</v>
      </c>
      <c r="E7" s="12" t="n">
        <v>3900</v>
      </c>
      <c r="F7" s="12" t="n">
        <v>1038.62</v>
      </c>
      <c r="G7" s="13" t="n">
        <f aca="false">E7/F7</f>
        <v>3.7549825730296</v>
      </c>
    </row>
    <row r="8" customFormat="false" ht="13.8" hidden="false" customHeight="false" outlineLevel="0" collapsed="false">
      <c r="A8" s="3"/>
      <c r="B8" s="14" t="n">
        <f aca="false">B7+1</f>
        <v>4</v>
      </c>
      <c r="C8" s="15" t="s">
        <v>11</v>
      </c>
      <c r="D8" s="16" t="s">
        <v>8</v>
      </c>
      <c r="E8" s="16" t="n">
        <v>1530</v>
      </c>
      <c r="F8" s="16" t="n">
        <v>407.43</v>
      </c>
      <c r="G8" s="17" t="n">
        <f aca="false">E8/F8</f>
        <v>3.75524629997791</v>
      </c>
    </row>
    <row r="9" customFormat="false" ht="13.8" hidden="false" customHeight="false" outlineLevel="0" collapsed="false">
      <c r="A9" s="3"/>
      <c r="B9" s="10" t="n">
        <f aca="false">B8+1</f>
        <v>5</v>
      </c>
      <c r="C9" s="11" t="s">
        <v>11</v>
      </c>
      <c r="D9" s="12" t="s">
        <v>8</v>
      </c>
      <c r="E9" s="12" t="n">
        <v>20</v>
      </c>
      <c r="F9" s="12" t="n">
        <v>5.33</v>
      </c>
      <c r="G9" s="13" t="n">
        <f aca="false">E9/F9</f>
        <v>3.75234521575985</v>
      </c>
    </row>
    <row r="10" customFormat="false" ht="13.8" hidden="false" customHeight="false" outlineLevel="0" collapsed="false">
      <c r="A10" s="3"/>
      <c r="B10" s="14" t="n">
        <f aca="false">B9+1</f>
        <v>6</v>
      </c>
      <c r="C10" s="15" t="s">
        <v>12</v>
      </c>
      <c r="D10" s="16" t="s">
        <v>8</v>
      </c>
      <c r="E10" s="16" t="n">
        <v>9750</v>
      </c>
      <c r="F10" s="16" t="n">
        <v>2596.12</v>
      </c>
      <c r="G10" s="17" t="n">
        <f aca="false">E10/F10</f>
        <v>3.75560451751075</v>
      </c>
    </row>
    <row r="11" customFormat="false" ht="13.8" hidden="false" customHeight="false" outlineLevel="0" collapsed="false">
      <c r="A11" s="3"/>
      <c r="B11" s="10" t="n">
        <f aca="false">B10+1</f>
        <v>7</v>
      </c>
      <c r="C11" s="11" t="s">
        <v>13</v>
      </c>
      <c r="D11" s="12" t="s">
        <v>8</v>
      </c>
      <c r="E11" s="12" t="n">
        <v>12750</v>
      </c>
      <c r="F11" s="18" t="n">
        <v>3395.07</v>
      </c>
      <c r="G11" s="13" t="n">
        <f aca="false">E11/F11</f>
        <v>3.75544539582394</v>
      </c>
    </row>
    <row r="12" customFormat="false" ht="13.8" hidden="false" customHeight="false" outlineLevel="0" collapsed="false">
      <c r="A12" s="3"/>
      <c r="B12" s="14" t="n">
        <v>8</v>
      </c>
      <c r="C12" s="15" t="s">
        <v>14</v>
      </c>
      <c r="D12" s="16" t="s">
        <v>8</v>
      </c>
      <c r="E12" s="16" t="n">
        <v>14000</v>
      </c>
      <c r="F12" s="19" t="n">
        <v>3727.02</v>
      </c>
      <c r="G12" s="17" t="n">
        <f aca="false">E12/F12</f>
        <v>3.75635225998251</v>
      </c>
    </row>
    <row r="13" customFormat="false" ht="13.8" hidden="false" customHeight="false" outlineLevel="0" collapsed="false">
      <c r="A13" s="3"/>
      <c r="B13" s="10" t="n">
        <v>9</v>
      </c>
      <c r="C13" s="11" t="s">
        <v>15</v>
      </c>
      <c r="D13" s="12" t="s">
        <v>8</v>
      </c>
      <c r="E13" s="12" t="n">
        <v>15400</v>
      </c>
      <c r="F13" s="18" t="n">
        <v>4100.22</v>
      </c>
      <c r="G13" s="13" t="n">
        <f aca="false">E13/F13</f>
        <v>3.75589602509134</v>
      </c>
    </row>
    <row r="14" customFormat="false" ht="13.8" hidden="false" customHeight="false" outlineLevel="0" collapsed="false">
      <c r="A14" s="3"/>
      <c r="B14" s="14" t="n">
        <v>10</v>
      </c>
      <c r="C14" s="15" t="s">
        <v>16</v>
      </c>
      <c r="D14" s="16" t="s">
        <v>8</v>
      </c>
      <c r="E14" s="16" t="n">
        <v>13600</v>
      </c>
      <c r="F14" s="19" t="n">
        <v>3620.39</v>
      </c>
      <c r="G14" s="17" t="n">
        <f aca="false">E14/F14</f>
        <v>3.75650137139921</v>
      </c>
    </row>
    <row r="15" customFormat="false" ht="13.8" hidden="false" customHeight="false" outlineLevel="0" collapsed="false">
      <c r="A15" s="3"/>
      <c r="B15" s="10" t="n">
        <v>11</v>
      </c>
      <c r="C15" s="11" t="s">
        <v>16</v>
      </c>
      <c r="D15" s="12" t="s">
        <v>8</v>
      </c>
      <c r="E15" s="12" t="n">
        <v>17500</v>
      </c>
      <c r="F15" s="18" t="n">
        <v>4658.22</v>
      </c>
      <c r="G15" s="13" t="n">
        <f aca="false">E15/F15</f>
        <v>3.75679980765185</v>
      </c>
    </row>
    <row r="16" customFormat="false" ht="13.8" hidden="false" customHeight="false" outlineLevel="0" collapsed="false">
      <c r="A16" s="3"/>
      <c r="B16" s="14" t="n">
        <v>12</v>
      </c>
      <c r="C16" s="15" t="s">
        <v>17</v>
      </c>
      <c r="D16" s="16" t="s">
        <v>8</v>
      </c>
      <c r="E16" s="16" t="n">
        <v>2600</v>
      </c>
      <c r="F16" s="19" t="n">
        <v>692.3</v>
      </c>
      <c r="G16" s="17" t="n">
        <f aca="false">E16/F16</f>
        <v>3.75559728441427</v>
      </c>
    </row>
    <row r="17" customFormat="false" ht="13.8" hidden="false" customHeight="false" outlineLevel="0" collapsed="false">
      <c r="A17" s="3"/>
      <c r="B17" s="10" t="n">
        <v>13</v>
      </c>
      <c r="C17" s="11" t="s">
        <v>18</v>
      </c>
      <c r="D17" s="12" t="s">
        <v>8</v>
      </c>
      <c r="E17" s="12" t="n">
        <v>16150</v>
      </c>
      <c r="F17" s="18" t="n">
        <v>4300.02</v>
      </c>
      <c r="G17" s="13" t="n">
        <f aca="false">E17/F17</f>
        <v>3.75579648466751</v>
      </c>
    </row>
    <row r="18" customFormat="false" ht="13.8" hidden="false" customHeight="false" outlineLevel="0" collapsed="false">
      <c r="A18" s="3"/>
      <c r="B18" s="14" t="n">
        <v>14</v>
      </c>
      <c r="C18" s="15" t="s">
        <v>19</v>
      </c>
      <c r="D18" s="16" t="s">
        <v>20</v>
      </c>
      <c r="E18" s="16" t="n">
        <v>26.42</v>
      </c>
      <c r="F18" s="19" t="n">
        <v>7.04</v>
      </c>
      <c r="G18" s="17" t="n">
        <f aca="false">E18/F18</f>
        <v>3.75284090909091</v>
      </c>
    </row>
    <row r="19" customFormat="false" ht="13.8" hidden="false" customHeight="false" outlineLevel="0" collapsed="false">
      <c r="A19" s="3"/>
      <c r="B19" s="10" t="n">
        <v>14</v>
      </c>
      <c r="C19" s="11" t="s">
        <v>21</v>
      </c>
      <c r="D19" s="12" t="s">
        <v>8</v>
      </c>
      <c r="E19" s="12" t="n">
        <v>14000</v>
      </c>
      <c r="F19" s="18" t="n">
        <v>3728.31</v>
      </c>
      <c r="G19" s="13" t="n">
        <f aca="false">E19/F19</f>
        <v>3.7550525573249</v>
      </c>
    </row>
    <row r="20" customFormat="false" ht="13.8" hidden="false" customHeight="false" outlineLevel="0" collapsed="false">
      <c r="A20" s="3"/>
      <c r="B20" s="14" t="n">
        <v>15</v>
      </c>
      <c r="C20" s="15" t="s">
        <v>22</v>
      </c>
      <c r="D20" s="16" t="s">
        <v>8</v>
      </c>
      <c r="E20" s="16" t="n">
        <v>14248.18</v>
      </c>
      <c r="F20" s="19" t="n">
        <v>3794.4</v>
      </c>
      <c r="G20" s="17" t="n">
        <f aca="false">E20/F20</f>
        <v>3.75505481762598</v>
      </c>
    </row>
    <row r="21" customFormat="false" ht="13.8" hidden="false" customHeight="false" outlineLevel="0" collapsed="false">
      <c r="A21" s="3"/>
      <c r="B21" s="10" t="n">
        <v>16</v>
      </c>
      <c r="C21" s="11" t="s">
        <v>23</v>
      </c>
      <c r="D21" s="12" t="s">
        <v>8</v>
      </c>
      <c r="E21" s="12" t="n">
        <v>20500</v>
      </c>
      <c r="F21" s="18" t="n">
        <v>5459.53</v>
      </c>
      <c r="G21" s="13" t="n">
        <f aca="false">E21/F21</f>
        <v>3.75490197874176</v>
      </c>
    </row>
    <row r="22" customFormat="false" ht="13.8" hidden="false" customHeight="false" outlineLevel="0" collapsed="false">
      <c r="A22" s="3"/>
      <c r="B22" s="14" t="n">
        <v>17</v>
      </c>
      <c r="C22" s="15" t="s">
        <v>24</v>
      </c>
      <c r="D22" s="16" t="s">
        <v>8</v>
      </c>
      <c r="E22" s="16" t="n">
        <v>10700</v>
      </c>
      <c r="F22" s="19" t="n">
        <v>2849.38</v>
      </c>
      <c r="G22" s="17" t="n">
        <f aca="false">E22/F22</f>
        <v>3.75520288624192</v>
      </c>
    </row>
    <row r="23" customFormat="false" ht="13.8" hidden="false" customHeight="false" outlineLevel="0" collapsed="false">
      <c r="A23" s="3"/>
      <c r="B23" s="10" t="n">
        <v>18</v>
      </c>
      <c r="C23" s="11" t="s">
        <v>25</v>
      </c>
      <c r="D23" s="12" t="s">
        <v>8</v>
      </c>
      <c r="E23" s="12" t="n">
        <v>9000</v>
      </c>
      <c r="F23" s="18" t="n">
        <v>2396.58</v>
      </c>
      <c r="G23" s="13" t="n">
        <f aca="false">E23/F23</f>
        <v>3.75535137571039</v>
      </c>
    </row>
    <row r="24" customFormat="false" ht="13.8" hidden="false" customHeight="false" outlineLevel="0" collapsed="false">
      <c r="A24" s="3"/>
      <c r="B24" s="14" t="n">
        <v>19</v>
      </c>
      <c r="C24" s="15" t="s">
        <v>26</v>
      </c>
      <c r="D24" s="16" t="s">
        <v>8</v>
      </c>
      <c r="E24" s="16" t="n">
        <v>9460.82</v>
      </c>
      <c r="F24" s="19" t="n">
        <v>2519.06</v>
      </c>
      <c r="G24" s="17" t="n">
        <f aca="false">E24/F24</f>
        <v>3.75569458448786</v>
      </c>
    </row>
    <row r="25" customFormat="false" ht="13.8" hidden="false" customHeight="false" outlineLevel="0" collapsed="false">
      <c r="A25" s="3"/>
      <c r="B25" s="10" t="n">
        <v>20</v>
      </c>
      <c r="C25" s="11" t="s">
        <v>27</v>
      </c>
      <c r="D25" s="12" t="s">
        <v>8</v>
      </c>
      <c r="E25" s="12" t="n">
        <v>10000</v>
      </c>
      <c r="F25" s="18" t="n">
        <v>2662.41</v>
      </c>
      <c r="G25" s="13" t="n">
        <f aca="false">E25/F25</f>
        <v>3.75599550782937</v>
      </c>
    </row>
    <row r="26" customFormat="false" ht="13.8" hidden="false" customHeight="false" outlineLevel="0" collapsed="false">
      <c r="A26" s="3"/>
      <c r="B26" s="14" t="n">
        <v>21</v>
      </c>
      <c r="C26" s="15" t="s">
        <v>28</v>
      </c>
      <c r="D26" s="16" t="s">
        <v>8</v>
      </c>
      <c r="E26" s="16" t="n">
        <v>11000</v>
      </c>
      <c r="F26" s="19" t="n">
        <v>2929.12</v>
      </c>
      <c r="G26" s="17" t="n">
        <f aca="false">E26/F26</f>
        <v>3.75539411154203</v>
      </c>
    </row>
    <row r="27" customFormat="false" ht="13.8" hidden="false" customHeight="false" outlineLevel="0" collapsed="false">
      <c r="A27" s="3"/>
      <c r="B27" s="10" t="n">
        <v>22</v>
      </c>
      <c r="C27" s="11" t="s">
        <v>29</v>
      </c>
      <c r="D27" s="12" t="s">
        <v>8</v>
      </c>
      <c r="E27" s="12" t="n">
        <v>2900</v>
      </c>
      <c r="F27" s="18" t="n">
        <v>772.23</v>
      </c>
      <c r="G27" s="13" t="n">
        <f aca="false">E27/F27</f>
        <v>3.75535785970501</v>
      </c>
    </row>
    <row r="28" customFormat="false" ht="13.8" hidden="false" customHeight="false" outlineLevel="0" collapsed="false">
      <c r="A28" s="3"/>
      <c r="B28" s="14" t="n">
        <v>23</v>
      </c>
      <c r="C28" s="15" t="s">
        <v>30</v>
      </c>
      <c r="D28" s="16" t="s">
        <v>8</v>
      </c>
      <c r="E28" s="16" t="n">
        <v>18930.09</v>
      </c>
      <c r="F28" s="19" t="n">
        <v>5035.54</v>
      </c>
      <c r="G28" s="17" t="n">
        <f aca="false">E28/F28</f>
        <v>3.75929691751034</v>
      </c>
    </row>
    <row r="29" customFormat="false" ht="13.8" hidden="false" customHeight="false" outlineLevel="0" collapsed="false">
      <c r="A29" s="3"/>
      <c r="B29" s="10" t="n">
        <v>24</v>
      </c>
      <c r="C29" s="11" t="s">
        <v>31</v>
      </c>
      <c r="D29" s="12" t="s">
        <v>20</v>
      </c>
      <c r="E29" s="12" t="n">
        <f aca="false">F29*G29</f>
        <v>7.813728</v>
      </c>
      <c r="F29" s="18" t="n">
        <v>2.08</v>
      </c>
      <c r="G29" s="13" t="n">
        <v>3.7566</v>
      </c>
    </row>
    <row r="30" customFormat="false" ht="13.8" hidden="false" customHeight="false" outlineLevel="0" collapsed="false">
      <c r="A30" s="3"/>
      <c r="B30" s="14" t="n">
        <v>25</v>
      </c>
      <c r="C30" s="15" t="s">
        <v>32</v>
      </c>
      <c r="D30" s="16" t="s">
        <v>8</v>
      </c>
      <c r="E30" s="16" t="n">
        <v>13800</v>
      </c>
      <c r="F30" s="19" t="n">
        <v>3675</v>
      </c>
      <c r="G30" s="17" t="n">
        <f aca="false">E30/F30</f>
        <v>3.75510204081633</v>
      </c>
    </row>
    <row r="31" customFormat="false" ht="13.8" hidden="false" customHeight="false" outlineLevel="0" collapsed="false">
      <c r="A31" s="3"/>
      <c r="B31" s="10" t="n">
        <v>26</v>
      </c>
      <c r="C31" s="11" t="s">
        <v>33</v>
      </c>
      <c r="D31" s="12" t="s">
        <v>8</v>
      </c>
      <c r="E31" s="12" t="n">
        <v>17758.05</v>
      </c>
      <c r="F31" s="18" t="n">
        <v>4728.42</v>
      </c>
      <c r="G31" s="13" t="n">
        <f aca="false">E31/F31</f>
        <v>3.75559912190541</v>
      </c>
    </row>
    <row r="32" customFormat="false" ht="13.8" hidden="false" customHeight="false" outlineLevel="0" collapsed="false">
      <c r="A32" s="3" t="s">
        <v>34</v>
      </c>
      <c r="B32" s="20" t="s">
        <v>35</v>
      </c>
      <c r="C32" s="20"/>
      <c r="D32" s="20"/>
      <c r="E32" s="21" t="n">
        <f aca="false">SUM(E5:E31)</f>
        <v>263231.373728</v>
      </c>
      <c r="F32" s="21" t="n">
        <f aca="false">SUM(F5:F31)</f>
        <v>70085.16</v>
      </c>
      <c r="G32" s="22" t="n">
        <f aca="false">AVERAGE(G5:G30)</f>
        <v>3.75548817221395</v>
      </c>
    </row>
    <row r="33" customFormat="false" ht="13.8" hidden="false" customHeight="false" outlineLevel="0" collapsed="false">
      <c r="A33" s="3" t="s">
        <v>36</v>
      </c>
      <c r="B33" s="23"/>
      <c r="C33" s="5" t="s">
        <v>37</v>
      </c>
      <c r="D33" s="5"/>
      <c r="E33" s="5"/>
      <c r="F33" s="5"/>
      <c r="G33" s="5"/>
    </row>
    <row r="34" customFormat="false" ht="13.8" hidden="false" customHeight="false" outlineLevel="0" collapsed="false">
      <c r="A34" s="3"/>
      <c r="B34" s="24" t="n">
        <f aca="false">B33+1</f>
        <v>1</v>
      </c>
      <c r="C34" s="25" t="s">
        <v>38</v>
      </c>
      <c r="D34" s="24" t="s">
        <v>8</v>
      </c>
      <c r="E34" s="24" t="n">
        <v>187</v>
      </c>
      <c r="F34" s="24" t="n">
        <v>50</v>
      </c>
      <c r="G34" s="26" t="n">
        <f aca="false">E34/F34</f>
        <v>3.74</v>
      </c>
    </row>
    <row r="35" customFormat="false" ht="13.8" hidden="false" customHeight="false" outlineLevel="0" collapsed="false">
      <c r="A35" s="3"/>
      <c r="B35" s="24" t="n">
        <f aca="false">B34+1</f>
        <v>2</v>
      </c>
      <c r="C35" s="25" t="s">
        <v>38</v>
      </c>
      <c r="D35" s="24" t="s">
        <v>39</v>
      </c>
      <c r="E35" s="24" t="n">
        <v>4.13</v>
      </c>
      <c r="F35" s="24" t="n">
        <v>1.1</v>
      </c>
      <c r="G35" s="26" t="n">
        <f aca="false">E35/F35</f>
        <v>3.75454545454545</v>
      </c>
    </row>
    <row r="36" customFormat="false" ht="13.8" hidden="false" customHeight="false" outlineLevel="0" collapsed="false">
      <c r="A36" s="3"/>
      <c r="B36" s="24" t="n">
        <v>3</v>
      </c>
      <c r="C36" s="25" t="s">
        <v>40</v>
      </c>
      <c r="D36" s="24" t="s">
        <v>39</v>
      </c>
      <c r="E36" s="27" t="n">
        <f aca="false">F36*3.756</f>
        <v>128.98104</v>
      </c>
      <c r="F36" s="24" t="n">
        <v>34.34</v>
      </c>
      <c r="G36" s="26" t="n">
        <f aca="false">E36/F36</f>
        <v>3.756</v>
      </c>
    </row>
    <row r="37" customFormat="false" ht="13.8" hidden="false" customHeight="false" outlineLevel="0" collapsed="false">
      <c r="A37" s="3"/>
      <c r="B37" s="24" t="n">
        <v>4</v>
      </c>
      <c r="C37" s="25" t="s">
        <v>41</v>
      </c>
      <c r="D37" s="24" t="s">
        <v>8</v>
      </c>
      <c r="E37" s="27" t="n">
        <v>697.69</v>
      </c>
      <c r="F37" s="24" t="n">
        <v>186</v>
      </c>
      <c r="G37" s="26" t="n">
        <f aca="false">E37/F37</f>
        <v>3.75102150537634</v>
      </c>
    </row>
    <row r="38" customFormat="false" ht="13.8" hidden="false" customHeight="false" outlineLevel="0" collapsed="false">
      <c r="A38" s="3" t="s">
        <v>42</v>
      </c>
      <c r="B38" s="28" t="s">
        <v>43</v>
      </c>
      <c r="C38" s="28"/>
      <c r="D38" s="28"/>
      <c r="E38" s="29" t="n">
        <f aca="false">E32-SUM(E34:E37)</f>
        <v>262213.572688</v>
      </c>
      <c r="F38" s="29" t="n">
        <f aca="false">F32-SUM(F34:F37)</f>
        <v>69813.72</v>
      </c>
      <c r="G38" s="30" t="n">
        <f aca="false">E38/F38</f>
        <v>3.75590317616652</v>
      </c>
    </row>
    <row r="43" customFormat="false" ht="15" hidden="false" customHeight="false" outlineLevel="0" collapsed="false">
      <c r="A43" s="3" t="s">
        <v>44</v>
      </c>
      <c r="B43" s="31" t="s">
        <v>45</v>
      </c>
      <c r="C43" s="31"/>
      <c r="D43" s="31"/>
      <c r="E43" s="31"/>
      <c r="F43" s="31"/>
      <c r="G43" s="31"/>
      <c r="H43" s="31"/>
      <c r="I43" s="31"/>
      <c r="J43" s="31"/>
    </row>
    <row r="44" customFormat="false" ht="14.15" hidden="false" customHeight="false" outlineLevel="0" collapsed="false">
      <c r="A44" s="3" t="s">
        <v>46</v>
      </c>
      <c r="B44" s="32"/>
      <c r="C44" s="33" t="s">
        <v>2</v>
      </c>
      <c r="D44" s="32" t="s">
        <v>47</v>
      </c>
      <c r="E44" s="32" t="s">
        <v>48</v>
      </c>
      <c r="F44" s="32" t="s">
        <v>49</v>
      </c>
      <c r="G44" s="32" t="s">
        <v>50</v>
      </c>
      <c r="H44" s="32" t="s">
        <v>51</v>
      </c>
      <c r="I44" s="32" t="s">
        <v>52</v>
      </c>
      <c r="J44" s="32" t="s">
        <v>53</v>
      </c>
      <c r="M44" s="34"/>
      <c r="N44" s="34"/>
    </row>
    <row r="45" customFormat="false" ht="14.15" hidden="false" customHeight="false" outlineLevel="0" collapsed="false">
      <c r="B45" s="35" t="n">
        <v>39</v>
      </c>
      <c r="C45" s="36" t="s">
        <v>54</v>
      </c>
      <c r="D45" s="35" t="s">
        <v>55</v>
      </c>
      <c r="E45" s="35" t="n">
        <v>15</v>
      </c>
      <c r="F45" s="37" t="n">
        <v>288.7</v>
      </c>
      <c r="G45" s="35" t="n">
        <v>1.8</v>
      </c>
      <c r="H45" s="35" t="n">
        <v>0.27</v>
      </c>
      <c r="I45" s="38" t="n">
        <f aca="false">(J45+G45+H45)/E45</f>
        <v>288.976</v>
      </c>
      <c r="J45" s="38" t="n">
        <v>4332.57</v>
      </c>
    </row>
    <row r="46" customFormat="false" ht="14.15" hidden="false" customHeight="false" outlineLevel="0" collapsed="false">
      <c r="B46" s="35" t="n">
        <v>40</v>
      </c>
      <c r="C46" s="36" t="s">
        <v>54</v>
      </c>
      <c r="D46" s="35" t="s">
        <v>55</v>
      </c>
      <c r="E46" s="35" t="n">
        <v>15</v>
      </c>
      <c r="F46" s="37" t="n">
        <v>287.5</v>
      </c>
      <c r="G46" s="35" t="n">
        <v>1.8</v>
      </c>
      <c r="H46" s="35" t="n">
        <v>0.27</v>
      </c>
      <c r="I46" s="38" t="n">
        <f aca="false">(J46+G46+H46)/E46</f>
        <v>287.776</v>
      </c>
      <c r="J46" s="38" t="n">
        <v>4314.57</v>
      </c>
    </row>
    <row r="47" customFormat="false" ht="14.15" hidden="false" customHeight="false" outlineLevel="0" collapsed="false">
      <c r="B47" s="35" t="n">
        <v>41</v>
      </c>
      <c r="C47" s="36" t="s">
        <v>54</v>
      </c>
      <c r="D47" s="35" t="s">
        <v>55</v>
      </c>
      <c r="E47" s="35" t="n">
        <v>12</v>
      </c>
      <c r="F47" s="37" t="n">
        <v>285.8</v>
      </c>
      <c r="G47" s="35" t="n">
        <v>1.8</v>
      </c>
      <c r="H47" s="35" t="n">
        <v>0.27</v>
      </c>
      <c r="I47" s="38" t="n">
        <f aca="false">(J47+G47+H47)/E47</f>
        <v>286.145</v>
      </c>
      <c r="J47" s="38" t="n">
        <v>3431.67</v>
      </c>
    </row>
    <row r="48" customFormat="false" ht="14.15" hidden="false" customHeight="false" outlineLevel="0" collapsed="false">
      <c r="B48" s="35" t="n">
        <v>42</v>
      </c>
      <c r="C48" s="36" t="s">
        <v>16</v>
      </c>
      <c r="D48" s="35" t="s">
        <v>55</v>
      </c>
      <c r="E48" s="35" t="n">
        <v>15</v>
      </c>
      <c r="F48" s="37" t="n">
        <v>246.5</v>
      </c>
      <c r="G48" s="35" t="n">
        <v>1.8</v>
      </c>
      <c r="H48" s="35" t="n">
        <v>0.27</v>
      </c>
      <c r="I48" s="38" t="n">
        <f aca="false">(J48+G48+H48)/E48</f>
        <v>246.776</v>
      </c>
      <c r="J48" s="38" t="n">
        <v>3699.57</v>
      </c>
    </row>
    <row r="49" customFormat="false" ht="14.15" hidden="false" customHeight="false" outlineLevel="0" collapsed="false">
      <c r="B49" s="35" t="n">
        <v>43</v>
      </c>
      <c r="C49" s="36" t="s">
        <v>16</v>
      </c>
      <c r="D49" s="35" t="s">
        <v>55</v>
      </c>
      <c r="E49" s="35" t="n">
        <v>19</v>
      </c>
      <c r="F49" s="37" t="n">
        <v>243.2</v>
      </c>
      <c r="G49" s="35" t="n">
        <v>1.8</v>
      </c>
      <c r="H49" s="35" t="n">
        <v>0.27</v>
      </c>
      <c r="I49" s="38" t="n">
        <f aca="false">(J49+G49+H49)/E49</f>
        <v>243.417894736842</v>
      </c>
      <c r="J49" s="38" t="n">
        <v>4622.87</v>
      </c>
    </row>
    <row r="50" customFormat="false" ht="14.15" hidden="false" customHeight="false" outlineLevel="0" collapsed="false">
      <c r="B50" s="35" t="n">
        <v>44</v>
      </c>
      <c r="C50" s="36" t="s">
        <v>56</v>
      </c>
      <c r="D50" s="35" t="s">
        <v>55</v>
      </c>
      <c r="E50" s="35" t="n">
        <v>15</v>
      </c>
      <c r="F50" s="37" t="n">
        <v>240.3998</v>
      </c>
      <c r="G50" s="35" t="n">
        <v>1.8</v>
      </c>
      <c r="H50" s="35" t="n">
        <v>0.27</v>
      </c>
      <c r="I50" s="38" t="n">
        <f aca="false">(J50+G50+H50)/E50</f>
        <v>240.6758</v>
      </c>
      <c r="J50" s="38" t="n">
        <v>3608.067</v>
      </c>
    </row>
    <row r="51" customFormat="false" ht="14.15" hidden="false" customHeight="false" outlineLevel="0" collapsed="false">
      <c r="B51" s="35" t="n">
        <v>45</v>
      </c>
      <c r="C51" s="36" t="s">
        <v>56</v>
      </c>
      <c r="D51" s="35" t="s">
        <v>55</v>
      </c>
      <c r="E51" s="35" t="n">
        <v>15</v>
      </c>
      <c r="F51" s="37" t="n">
        <v>238.85</v>
      </c>
      <c r="G51" s="35" t="n">
        <v>1.8</v>
      </c>
      <c r="H51" s="35" t="n">
        <v>0.27</v>
      </c>
      <c r="I51" s="38" t="n">
        <f aca="false">(J51+G51+H51)/E51</f>
        <v>239.126</v>
      </c>
      <c r="J51" s="38" t="n">
        <v>3584.82</v>
      </c>
    </row>
    <row r="52" customFormat="false" ht="14.15" hidden="false" customHeight="false" outlineLevel="0" collapsed="false">
      <c r="B52" s="35" t="n">
        <v>46</v>
      </c>
      <c r="C52" s="36" t="s">
        <v>56</v>
      </c>
      <c r="D52" s="35" t="s">
        <v>55</v>
      </c>
      <c r="E52" s="35" t="n">
        <v>15</v>
      </c>
      <c r="F52" s="37" t="n">
        <v>239.12</v>
      </c>
      <c r="G52" s="35" t="n">
        <v>1.8</v>
      </c>
      <c r="H52" s="35" t="n">
        <v>0.27</v>
      </c>
      <c r="I52" s="38" t="n">
        <f aca="false">(J52+G52+H52)/E52</f>
        <v>239.396</v>
      </c>
      <c r="J52" s="38" t="n">
        <v>3588.87</v>
      </c>
    </row>
    <row r="53" customFormat="false" ht="14.15" hidden="false" customHeight="false" outlineLevel="0" collapsed="false">
      <c r="B53" s="35" t="n">
        <v>47</v>
      </c>
      <c r="C53" s="36" t="s">
        <v>56</v>
      </c>
      <c r="D53" s="35" t="s">
        <v>55</v>
      </c>
      <c r="E53" s="35" t="n">
        <v>15</v>
      </c>
      <c r="F53" s="37" t="n">
        <v>238.58</v>
      </c>
      <c r="G53" s="35" t="n">
        <v>1.8</v>
      </c>
      <c r="H53" s="35" t="n">
        <v>0.27</v>
      </c>
      <c r="I53" s="38" t="n">
        <f aca="false">(J53+G53+H53)/E53</f>
        <v>238.856</v>
      </c>
      <c r="J53" s="38" t="n">
        <v>3580.77</v>
      </c>
    </row>
    <row r="54" customFormat="false" ht="14.15" hidden="false" customHeight="false" outlineLevel="0" collapsed="false">
      <c r="B54" s="35" t="n">
        <v>48</v>
      </c>
      <c r="C54" s="36" t="s">
        <v>56</v>
      </c>
      <c r="D54" s="35" t="s">
        <v>55</v>
      </c>
      <c r="E54" s="35" t="n">
        <v>15</v>
      </c>
      <c r="F54" s="37" t="n">
        <v>237.99</v>
      </c>
      <c r="G54" s="35" t="n">
        <v>1.8</v>
      </c>
      <c r="H54" s="35" t="n">
        <v>0.27</v>
      </c>
      <c r="I54" s="38" t="n">
        <f aca="false">(J54+G54+H54)/E54</f>
        <v>238.266</v>
      </c>
      <c r="J54" s="38" t="n">
        <v>3571.92</v>
      </c>
    </row>
    <row r="55" customFormat="false" ht="14.15" hidden="false" customHeight="false" outlineLevel="0" collapsed="false">
      <c r="B55" s="35" t="n">
        <v>49</v>
      </c>
      <c r="C55" s="36" t="s">
        <v>56</v>
      </c>
      <c r="D55" s="35" t="s">
        <v>55</v>
      </c>
      <c r="E55" s="35" t="n">
        <v>40</v>
      </c>
      <c r="F55" s="37" t="n">
        <v>237.1</v>
      </c>
      <c r="G55" s="35" t="n">
        <v>1.8</v>
      </c>
      <c r="H55" s="35" t="n">
        <v>0.27</v>
      </c>
      <c r="I55" s="38" t="n">
        <f aca="false">(J55+G55+H55)/E55</f>
        <v>237.2035</v>
      </c>
      <c r="J55" s="38" t="n">
        <v>9486.07</v>
      </c>
    </row>
    <row r="56" customFormat="false" ht="14.15" hidden="false" customHeight="false" outlineLevel="0" collapsed="false">
      <c r="B56" s="35" t="n">
        <v>50</v>
      </c>
      <c r="C56" s="36" t="s">
        <v>57</v>
      </c>
      <c r="D56" s="35" t="s">
        <v>55</v>
      </c>
      <c r="E56" s="35" t="n">
        <v>15</v>
      </c>
      <c r="F56" s="37" t="n">
        <v>237.9</v>
      </c>
      <c r="G56" s="35" t="n">
        <v>1.8</v>
      </c>
      <c r="H56" s="35" t="n">
        <v>0.27</v>
      </c>
      <c r="I56" s="38" t="n">
        <f aca="false">(J56+G56+H56)/E56</f>
        <v>238.176</v>
      </c>
      <c r="J56" s="38" t="n">
        <v>3570.57</v>
      </c>
    </row>
    <row r="57" customFormat="false" ht="14.15" hidden="false" customHeight="false" outlineLevel="0" collapsed="false">
      <c r="B57" s="35" t="n">
        <v>51</v>
      </c>
      <c r="C57" s="36" t="s">
        <v>57</v>
      </c>
      <c r="D57" s="35" t="s">
        <v>55</v>
      </c>
      <c r="E57" s="35" t="n">
        <v>20</v>
      </c>
      <c r="F57" s="37" t="n">
        <v>236.4</v>
      </c>
      <c r="G57" s="35" t="n">
        <v>1.8</v>
      </c>
      <c r="H57" s="35" t="n">
        <v>0.27</v>
      </c>
      <c r="I57" s="38" t="n">
        <f aca="false">(J57+G57+H57)/E57</f>
        <v>236.607</v>
      </c>
      <c r="J57" s="38" t="n">
        <v>4730.07</v>
      </c>
    </row>
    <row r="58" customFormat="false" ht="14.15" hidden="false" customHeight="false" outlineLevel="0" collapsed="false">
      <c r="B58" s="35" t="n">
        <v>52</v>
      </c>
      <c r="C58" s="36" t="s">
        <v>57</v>
      </c>
      <c r="D58" s="35" t="s">
        <v>55</v>
      </c>
      <c r="E58" s="35" t="n">
        <v>20</v>
      </c>
      <c r="F58" s="37" t="n">
        <v>235.1099</v>
      </c>
      <c r="G58" s="35" t="n">
        <v>1.8</v>
      </c>
      <c r="H58" s="35" t="n">
        <v>0.27</v>
      </c>
      <c r="I58" s="38" t="n">
        <f aca="false">(J58+G58+H58)/E58</f>
        <v>235.3169</v>
      </c>
      <c r="J58" s="38" t="n">
        <v>4704.268</v>
      </c>
    </row>
    <row r="59" customFormat="false" ht="14.15" hidden="false" customHeight="false" outlineLevel="0" collapsed="false">
      <c r="B59" s="35" t="n">
        <v>53</v>
      </c>
      <c r="C59" s="36" t="s">
        <v>57</v>
      </c>
      <c r="D59" s="35" t="s">
        <v>55</v>
      </c>
      <c r="E59" s="35" t="n">
        <v>15</v>
      </c>
      <c r="F59" s="37" t="n">
        <v>235.95</v>
      </c>
      <c r="G59" s="35" t="n">
        <v>1.8</v>
      </c>
      <c r="H59" s="35" t="n">
        <v>0.27</v>
      </c>
      <c r="I59" s="38" t="n">
        <f aca="false">(J59+G59+H59)/E59</f>
        <v>236.2357</v>
      </c>
      <c r="J59" s="38" t="n">
        <v>3541.4655</v>
      </c>
    </row>
    <row r="60" customFormat="false" ht="14.15" hidden="false" customHeight="false" outlineLevel="0" collapsed="false">
      <c r="B60" s="35" t="n">
        <v>54</v>
      </c>
      <c r="C60" s="36" t="s">
        <v>57</v>
      </c>
      <c r="D60" s="35" t="s">
        <v>55</v>
      </c>
      <c r="E60" s="35" t="n">
        <v>15</v>
      </c>
      <c r="F60" s="37" t="n">
        <v>235.48</v>
      </c>
      <c r="G60" s="35" t="n">
        <v>1.8</v>
      </c>
      <c r="H60" s="35" t="n">
        <v>0.27</v>
      </c>
      <c r="I60" s="38" t="n">
        <f aca="false">(J60+G60+H60)/E60</f>
        <v>235.756</v>
      </c>
      <c r="J60" s="38" t="n">
        <v>3534.27</v>
      </c>
    </row>
    <row r="61" customFormat="false" ht="14.15" hidden="false" customHeight="false" outlineLevel="0" collapsed="false">
      <c r="B61" s="35" t="n">
        <v>55</v>
      </c>
      <c r="C61" s="36" t="s">
        <v>57</v>
      </c>
      <c r="D61" s="35" t="s">
        <v>55</v>
      </c>
      <c r="E61" s="35" t="n">
        <v>15</v>
      </c>
      <c r="F61" s="37" t="n">
        <v>234.6599</v>
      </c>
      <c r="G61" s="35" t="n">
        <v>1.8</v>
      </c>
      <c r="H61" s="35" t="n">
        <v>0.27</v>
      </c>
      <c r="I61" s="38" t="n">
        <f aca="false">(J61+G61+H61)/E61</f>
        <v>234.9359</v>
      </c>
      <c r="J61" s="38" t="n">
        <v>3521.9685</v>
      </c>
    </row>
    <row r="62" customFormat="false" ht="14.15" hidden="false" customHeight="false" outlineLevel="0" collapsed="false">
      <c r="B62" s="35" t="n">
        <v>56</v>
      </c>
      <c r="C62" s="36" t="s">
        <v>57</v>
      </c>
      <c r="D62" s="35" t="s">
        <v>55</v>
      </c>
      <c r="E62" s="35" t="n">
        <v>15</v>
      </c>
      <c r="F62" s="37" t="n">
        <v>233.9599</v>
      </c>
      <c r="G62" s="35" t="n">
        <v>1.8</v>
      </c>
      <c r="H62" s="35" t="n">
        <v>0.27</v>
      </c>
      <c r="I62" s="38" t="n">
        <f aca="false">(J62+G62+H62)/E62</f>
        <v>234.2359</v>
      </c>
      <c r="J62" s="38" t="n">
        <v>3511.4685</v>
      </c>
    </row>
    <row r="63" customFormat="false" ht="14.15" hidden="false" customHeight="false" outlineLevel="0" collapsed="false">
      <c r="B63" s="35" t="n">
        <v>57</v>
      </c>
      <c r="C63" s="36" t="s">
        <v>58</v>
      </c>
      <c r="D63" s="35" t="s">
        <v>55</v>
      </c>
      <c r="E63" s="35" t="n">
        <v>25</v>
      </c>
      <c r="F63" s="37" t="n">
        <v>230</v>
      </c>
      <c r="G63" s="35" t="n">
        <v>1.8</v>
      </c>
      <c r="H63" s="35" t="n">
        <v>0.27</v>
      </c>
      <c r="I63" s="38" t="n">
        <f aca="false">(J63+G63+H63)/E63</f>
        <v>230.1656</v>
      </c>
      <c r="J63" s="38" t="n">
        <v>5752.07</v>
      </c>
    </row>
    <row r="64" customFormat="false" ht="14.15" hidden="false" customHeight="false" outlineLevel="0" collapsed="false">
      <c r="B64" s="35" t="n">
        <v>58</v>
      </c>
      <c r="C64" s="36" t="s">
        <v>59</v>
      </c>
      <c r="D64" s="35" t="s">
        <v>55</v>
      </c>
      <c r="E64" s="35" t="n">
        <v>15</v>
      </c>
      <c r="F64" s="37" t="n">
        <v>237.2896</v>
      </c>
      <c r="G64" s="35" t="n">
        <v>1.8</v>
      </c>
      <c r="H64" s="35" t="n">
        <v>0.27</v>
      </c>
      <c r="I64" s="38" t="n">
        <f aca="false">(J64+G64+H64)/E64</f>
        <v>237.5656</v>
      </c>
      <c r="J64" s="38" t="n">
        <v>3561.414</v>
      </c>
    </row>
    <row r="65" customFormat="false" ht="14.15" hidden="false" customHeight="false" outlineLevel="0" collapsed="false">
      <c r="B65" s="35" t="n">
        <v>59</v>
      </c>
      <c r="C65" s="36" t="s">
        <v>59</v>
      </c>
      <c r="D65" s="35" t="s">
        <v>55</v>
      </c>
      <c r="E65" s="35" t="n">
        <v>15</v>
      </c>
      <c r="F65" s="37" t="n">
        <v>235.2398</v>
      </c>
      <c r="G65" s="35" t="n">
        <v>1.8</v>
      </c>
      <c r="H65" s="35" t="n">
        <v>0.27</v>
      </c>
      <c r="I65" s="38" t="n">
        <f aca="false">(J65+G65+H65)/E65</f>
        <v>235.5158</v>
      </c>
      <c r="J65" s="38" t="n">
        <v>3530.667</v>
      </c>
    </row>
    <row r="66" customFormat="false" ht="14.15" hidden="false" customHeight="false" outlineLevel="0" collapsed="false">
      <c r="B66" s="35" t="n">
        <v>60</v>
      </c>
      <c r="C66" s="36" t="s">
        <v>59</v>
      </c>
      <c r="D66" s="35" t="s">
        <v>55</v>
      </c>
      <c r="E66" s="35" t="n">
        <v>15</v>
      </c>
      <c r="F66" s="37" t="n">
        <v>234.0698</v>
      </c>
      <c r="G66" s="35" t="n">
        <v>1.8</v>
      </c>
      <c r="H66" s="35" t="n">
        <v>0.27</v>
      </c>
      <c r="I66" s="38" t="n">
        <f aca="false">(J66+G66+H66)/E66</f>
        <v>234.3458</v>
      </c>
      <c r="J66" s="38" t="n">
        <v>3513.117</v>
      </c>
    </row>
    <row r="67" customFormat="false" ht="14.15" hidden="false" customHeight="false" outlineLevel="0" collapsed="false">
      <c r="B67" s="35" t="n">
        <v>61</v>
      </c>
      <c r="C67" s="36" t="s">
        <v>59</v>
      </c>
      <c r="D67" s="35" t="s">
        <v>55</v>
      </c>
      <c r="E67" s="35" t="n">
        <v>15</v>
      </c>
      <c r="F67" s="37" t="n">
        <v>232.98</v>
      </c>
      <c r="G67" s="35" t="n">
        <v>1.8</v>
      </c>
      <c r="H67" s="35" t="n">
        <v>0.27</v>
      </c>
      <c r="I67" s="38" t="n">
        <f aca="false">(J67+G67+H67)/E67</f>
        <v>233.256</v>
      </c>
      <c r="J67" s="38" t="n">
        <v>3496.77</v>
      </c>
    </row>
    <row r="68" customFormat="false" ht="14.15" hidden="false" customHeight="false" outlineLevel="0" collapsed="false">
      <c r="B68" s="35" t="n">
        <v>226</v>
      </c>
      <c r="C68" s="36" t="s">
        <v>60</v>
      </c>
      <c r="D68" s="35" t="s">
        <v>55</v>
      </c>
      <c r="E68" s="35" t="n">
        <v>15</v>
      </c>
      <c r="F68" s="37" t="n">
        <v>271.4</v>
      </c>
      <c r="G68" s="35" t="n">
        <v>1.8</v>
      </c>
      <c r="H68" s="35" t="n">
        <v>0.27</v>
      </c>
      <c r="I68" s="38" t="n">
        <f aca="false">(J68+G68+H68)/E68</f>
        <v>271.676</v>
      </c>
      <c r="J68" s="38" t="n">
        <v>4073.07</v>
      </c>
    </row>
    <row r="69" customFormat="false" ht="14.15" hidden="false" customHeight="false" outlineLevel="0" collapsed="false">
      <c r="B69" s="35" t="n">
        <v>227</v>
      </c>
      <c r="C69" s="36" t="s">
        <v>60</v>
      </c>
      <c r="D69" s="35" t="s">
        <v>55</v>
      </c>
      <c r="E69" s="35" t="n">
        <v>15</v>
      </c>
      <c r="F69" s="37" t="n">
        <v>268.88</v>
      </c>
      <c r="G69" s="35" t="n">
        <v>1.8</v>
      </c>
      <c r="H69" s="35" t="n">
        <v>0.27</v>
      </c>
      <c r="I69" s="38" t="n">
        <f aca="false">(J69+G69+H69)/E69</f>
        <v>269.156</v>
      </c>
      <c r="J69" s="38" t="n">
        <v>4035.27</v>
      </c>
    </row>
    <row r="70" customFormat="false" ht="14.15" hidden="false" customHeight="false" outlineLevel="0" collapsed="false">
      <c r="B70" s="35" t="n">
        <v>228</v>
      </c>
      <c r="C70" s="36" t="s">
        <v>61</v>
      </c>
      <c r="D70" s="35" t="s">
        <v>55</v>
      </c>
      <c r="E70" s="35" t="n">
        <v>15</v>
      </c>
      <c r="F70" s="37" t="n">
        <v>272.93</v>
      </c>
      <c r="G70" s="35" t="n">
        <v>1.8</v>
      </c>
      <c r="H70" s="35" t="n">
        <v>0.27</v>
      </c>
      <c r="I70" s="38" t="n">
        <f aca="false">(J70+G70+H70)/E70</f>
        <v>273.206</v>
      </c>
      <c r="J70" s="38" t="n">
        <v>4096.02</v>
      </c>
    </row>
    <row r="71" customFormat="false" ht="14.15" hidden="false" customHeight="false" outlineLevel="0" collapsed="false">
      <c r="B71" s="35" t="n">
        <v>229</v>
      </c>
      <c r="C71" s="36" t="s">
        <v>61</v>
      </c>
      <c r="D71" s="35" t="s">
        <v>55</v>
      </c>
      <c r="E71" s="35" t="n">
        <v>15</v>
      </c>
      <c r="F71" s="37" t="n">
        <v>272.34</v>
      </c>
      <c r="G71" s="35" t="n">
        <v>1.8</v>
      </c>
      <c r="H71" s="35" t="n">
        <v>0.27</v>
      </c>
      <c r="I71" s="38" t="n">
        <f aca="false">(J71+G71+H71)/E71</f>
        <v>272.616</v>
      </c>
      <c r="J71" s="38" t="n">
        <v>4087.17</v>
      </c>
    </row>
    <row r="72" customFormat="false" ht="14.15" hidden="false" customHeight="false" outlineLevel="0" collapsed="false">
      <c r="B72" s="35" t="n">
        <v>230</v>
      </c>
      <c r="C72" s="36" t="s">
        <v>62</v>
      </c>
      <c r="D72" s="35" t="s">
        <v>55</v>
      </c>
      <c r="E72" s="35" t="n">
        <v>15</v>
      </c>
      <c r="F72" s="37" t="n">
        <v>274.8796</v>
      </c>
      <c r="G72" s="35" t="n">
        <v>1.8</v>
      </c>
      <c r="H72" s="35" t="n">
        <v>0.27</v>
      </c>
      <c r="I72" s="38" t="n">
        <f aca="false">(J72+G72+H72)/E72</f>
        <v>275.1556</v>
      </c>
      <c r="J72" s="38" t="n">
        <v>4125.264</v>
      </c>
    </row>
    <row r="73" customFormat="false" ht="14.15" hidden="false" customHeight="false" outlineLevel="0" collapsed="false">
      <c r="B73" s="35" t="n">
        <v>231</v>
      </c>
      <c r="C73" s="36" t="s">
        <v>62</v>
      </c>
      <c r="D73" s="35" t="s">
        <v>55</v>
      </c>
      <c r="E73" s="35" t="n">
        <v>15</v>
      </c>
      <c r="F73" s="37" t="n">
        <v>273.8789</v>
      </c>
      <c r="G73" s="35" t="n">
        <v>1.8</v>
      </c>
      <c r="H73" s="35" t="n">
        <v>0.27</v>
      </c>
      <c r="I73" s="38" t="n">
        <f aca="false">(J73+G73+H73)/E73</f>
        <v>274.1549</v>
      </c>
      <c r="J73" s="38" t="n">
        <v>4110.2535</v>
      </c>
    </row>
    <row r="74" customFormat="false" ht="14.15" hidden="false" customHeight="false" outlineLevel="0" collapsed="false">
      <c r="B74" s="35" t="n">
        <v>232</v>
      </c>
      <c r="C74" s="36" t="s">
        <v>62</v>
      </c>
      <c r="D74" s="35" t="s">
        <v>55</v>
      </c>
      <c r="E74" s="35" t="n">
        <v>15</v>
      </c>
      <c r="F74" s="37" t="n">
        <v>271.63</v>
      </c>
      <c r="G74" s="35" t="n">
        <v>1.8</v>
      </c>
      <c r="H74" s="35" t="n">
        <v>0.27</v>
      </c>
      <c r="I74" s="38" t="n">
        <f aca="false">(J74+G74+H74)/E74</f>
        <v>271.906</v>
      </c>
      <c r="J74" s="38" t="n">
        <v>4076.52</v>
      </c>
    </row>
    <row r="75" customFormat="false" ht="14.15" hidden="false" customHeight="false" outlineLevel="0" collapsed="false">
      <c r="B75" s="35" t="n">
        <v>233</v>
      </c>
      <c r="C75" s="36" t="s">
        <v>62</v>
      </c>
      <c r="D75" s="35" t="s">
        <v>55</v>
      </c>
      <c r="E75" s="35" t="n">
        <v>15</v>
      </c>
      <c r="F75" s="37" t="n">
        <v>273.5981</v>
      </c>
      <c r="G75" s="35" t="n">
        <v>1.8</v>
      </c>
      <c r="H75" s="35" t="n">
        <v>0.27</v>
      </c>
      <c r="I75" s="38" t="n">
        <f aca="false">(J75+G75+H75)/E75</f>
        <v>273.8741</v>
      </c>
      <c r="J75" s="38" t="n">
        <v>4106.0415</v>
      </c>
    </row>
    <row r="76" customFormat="false" ht="14.15" hidden="false" customHeight="false" outlineLevel="0" collapsed="false">
      <c r="B76" s="35" t="n">
        <v>234</v>
      </c>
      <c r="C76" s="36" t="s">
        <v>63</v>
      </c>
      <c r="D76" s="35" t="s">
        <v>55</v>
      </c>
      <c r="E76" s="35" t="n">
        <v>15</v>
      </c>
      <c r="F76" s="37" t="n">
        <v>261.3</v>
      </c>
      <c r="G76" s="35" t="n">
        <v>1.8</v>
      </c>
      <c r="H76" s="35" t="n">
        <v>0.27</v>
      </c>
      <c r="I76" s="38" t="n">
        <f aca="false">(J76+G76+H76)/E76</f>
        <v>261.576</v>
      </c>
      <c r="J76" s="38" t="n">
        <v>3921.57</v>
      </c>
    </row>
    <row r="77" customFormat="false" ht="14.15" hidden="false" customHeight="false" outlineLevel="0" collapsed="false">
      <c r="B77" s="35" t="n">
        <v>235</v>
      </c>
      <c r="C77" s="36" t="s">
        <v>63</v>
      </c>
      <c r="D77" s="35" t="s">
        <v>55</v>
      </c>
      <c r="E77" s="35" t="n">
        <v>10</v>
      </c>
      <c r="F77" s="37" t="n">
        <v>260.69</v>
      </c>
      <c r="G77" s="35" t="n">
        <v>1.8</v>
      </c>
      <c r="H77" s="35" t="n">
        <v>0.27</v>
      </c>
      <c r="I77" s="38" t="n">
        <f aca="false">(J77+G77+H77)/E77</f>
        <v>261.104</v>
      </c>
      <c r="J77" s="38" t="n">
        <v>2608.97</v>
      </c>
    </row>
    <row r="78" customFormat="false" ht="14.15" hidden="false" customHeight="false" outlineLevel="0" collapsed="false">
      <c r="B78" s="35" t="n">
        <v>236</v>
      </c>
      <c r="C78" s="36" t="s">
        <v>63</v>
      </c>
      <c r="D78" s="35" t="s">
        <v>55</v>
      </c>
      <c r="E78" s="35" t="n">
        <v>14</v>
      </c>
      <c r="F78" s="37" t="n">
        <v>260.13</v>
      </c>
      <c r="G78" s="35" t="n">
        <v>1.8</v>
      </c>
      <c r="H78" s="35" t="n">
        <v>0.27</v>
      </c>
      <c r="I78" s="38" t="n">
        <f aca="false">(J78+G78+H78)/E78</f>
        <v>260.425714285714</v>
      </c>
      <c r="J78" s="38" t="n">
        <v>3643.89</v>
      </c>
    </row>
    <row r="79" customFormat="false" ht="14.15" hidden="false" customHeight="false" outlineLevel="0" collapsed="false">
      <c r="B79" s="35" t="n">
        <v>237</v>
      </c>
      <c r="C79" s="36" t="s">
        <v>64</v>
      </c>
      <c r="D79" s="35" t="s">
        <v>55</v>
      </c>
      <c r="E79" s="35" t="n">
        <v>10</v>
      </c>
      <c r="F79" s="37" t="n">
        <v>262.2</v>
      </c>
      <c r="G79" s="35" t="n">
        <v>1.8</v>
      </c>
      <c r="H79" s="35" t="n">
        <v>0.27</v>
      </c>
      <c r="I79" s="38" t="n">
        <f aca="false">(J79+G79+H79)/E79</f>
        <v>262.614</v>
      </c>
      <c r="J79" s="38" t="n">
        <v>2624.07</v>
      </c>
    </row>
    <row r="80" customFormat="false" ht="14.15" hidden="false" customHeight="false" outlineLevel="0" collapsed="false">
      <c r="B80" s="35" t="n">
        <v>238</v>
      </c>
      <c r="C80" s="36" t="s">
        <v>64</v>
      </c>
      <c r="D80" s="35" t="s">
        <v>55</v>
      </c>
      <c r="E80" s="35" t="n">
        <v>10</v>
      </c>
      <c r="F80" s="37" t="n">
        <v>261.55</v>
      </c>
      <c r="G80" s="35" t="n">
        <v>1.8</v>
      </c>
      <c r="H80" s="35" t="n">
        <v>0.27</v>
      </c>
      <c r="I80" s="38" t="n">
        <f aca="false">(J80+G80+H80)/E80</f>
        <v>261.964</v>
      </c>
      <c r="J80" s="38" t="n">
        <v>2617.57</v>
      </c>
    </row>
    <row r="81" customFormat="false" ht="14.15" hidden="false" customHeight="false" outlineLevel="0" collapsed="false">
      <c r="B81" s="35" t="n">
        <v>239</v>
      </c>
      <c r="C81" s="36" t="s">
        <v>65</v>
      </c>
      <c r="D81" s="35" t="s">
        <v>55</v>
      </c>
      <c r="E81" s="35" t="n">
        <v>10</v>
      </c>
      <c r="F81" s="37" t="n">
        <v>252.22</v>
      </c>
      <c r="G81" s="35" t="n">
        <v>1.8</v>
      </c>
      <c r="H81" s="35" t="n">
        <v>0.27</v>
      </c>
      <c r="I81" s="38" t="n">
        <f aca="false">(J81+G81+H81)/E81</f>
        <v>252.634</v>
      </c>
      <c r="J81" s="38" t="n">
        <v>2524.27</v>
      </c>
    </row>
    <row r="82" customFormat="false" ht="14.15" hidden="false" customHeight="false" outlineLevel="0" collapsed="false">
      <c r="B82" s="35" t="n">
        <v>239</v>
      </c>
      <c r="C82" s="36" t="s">
        <v>64</v>
      </c>
      <c r="D82" s="35" t="s">
        <v>55</v>
      </c>
      <c r="E82" s="35" t="n">
        <v>5</v>
      </c>
      <c r="F82" s="37" t="n">
        <v>259.5</v>
      </c>
      <c r="G82" s="35" t="n">
        <v>1.8</v>
      </c>
      <c r="H82" s="35" t="n">
        <v>0.27</v>
      </c>
      <c r="I82" s="38" t="n">
        <f aca="false">(J82+G82+H82)/E82</f>
        <v>260.328</v>
      </c>
      <c r="J82" s="38" t="n">
        <v>1299.57</v>
      </c>
    </row>
    <row r="83" customFormat="false" ht="14.15" hidden="false" customHeight="false" outlineLevel="0" collapsed="false">
      <c r="B83" s="35" t="n">
        <v>240</v>
      </c>
      <c r="C83" s="36" t="s">
        <v>66</v>
      </c>
      <c r="D83" s="35" t="s">
        <v>55</v>
      </c>
      <c r="E83" s="35" t="n">
        <v>15</v>
      </c>
      <c r="F83" s="37" t="n">
        <v>257.3</v>
      </c>
      <c r="G83" s="35" t="n">
        <v>1.8</v>
      </c>
      <c r="H83" s="35" t="n">
        <v>0.27</v>
      </c>
      <c r="I83" s="38" t="n">
        <f aca="false">(J83+G83+H83)/E83</f>
        <v>257.576</v>
      </c>
      <c r="J83" s="38" t="n">
        <v>3861.57</v>
      </c>
    </row>
    <row r="84" customFormat="false" ht="14.15" hidden="false" customHeight="false" outlineLevel="0" collapsed="false">
      <c r="B84" s="35" t="n">
        <v>241</v>
      </c>
      <c r="C84" s="36" t="s">
        <v>67</v>
      </c>
      <c r="D84" s="35" t="s">
        <v>55</v>
      </c>
      <c r="E84" s="35" t="n">
        <v>5</v>
      </c>
      <c r="F84" s="37" t="n">
        <v>253.35</v>
      </c>
      <c r="G84" s="35" t="n">
        <v>1.8</v>
      </c>
      <c r="H84" s="35" t="n">
        <v>0.27</v>
      </c>
      <c r="I84" s="38" t="n">
        <f aca="false">(J84+G84+H84)/E84</f>
        <v>254.178</v>
      </c>
      <c r="J84" s="38" t="n">
        <v>1268.82</v>
      </c>
    </row>
    <row r="85" customFormat="false" ht="14.15" hidden="false" customHeight="false" outlineLevel="0" collapsed="false">
      <c r="B85" s="35" t="n">
        <v>242</v>
      </c>
      <c r="C85" s="36" t="s">
        <v>67</v>
      </c>
      <c r="D85" s="35" t="s">
        <v>55</v>
      </c>
      <c r="E85" s="35" t="n">
        <v>5</v>
      </c>
      <c r="F85" s="37" t="n">
        <v>258.62</v>
      </c>
      <c r="G85" s="35" t="n">
        <v>1.8</v>
      </c>
      <c r="H85" s="35" t="n">
        <v>0.27</v>
      </c>
      <c r="I85" s="38" t="n">
        <f aca="false">(J85+G85+H85)/E85</f>
        <v>259.448</v>
      </c>
      <c r="J85" s="38" t="n">
        <v>1295.17</v>
      </c>
    </row>
    <row r="86" customFormat="false" ht="14.15" hidden="false" customHeight="false" outlineLevel="0" collapsed="false">
      <c r="B86" s="35" t="n">
        <v>243</v>
      </c>
      <c r="C86" s="36" t="s">
        <v>68</v>
      </c>
      <c r="D86" s="35" t="s">
        <v>55</v>
      </c>
      <c r="E86" s="35" t="n">
        <v>14</v>
      </c>
      <c r="F86" s="37" t="n">
        <v>266.28</v>
      </c>
      <c r="G86" s="35" t="n">
        <v>1.8</v>
      </c>
      <c r="H86" s="35" t="n">
        <v>0.27</v>
      </c>
      <c r="I86" s="38" t="n">
        <f aca="false">(J86+G86+H86)/E86</f>
        <v>266.575714285714</v>
      </c>
      <c r="J86" s="38" t="n">
        <v>3729.99</v>
      </c>
    </row>
    <row r="87" customFormat="false" ht="14.15" hidden="false" customHeight="false" outlineLevel="0" collapsed="false">
      <c r="B87" s="35" t="n">
        <v>244</v>
      </c>
      <c r="C87" s="36" t="s">
        <v>69</v>
      </c>
      <c r="D87" s="35" t="s">
        <v>55</v>
      </c>
      <c r="E87" s="35" t="n">
        <v>14</v>
      </c>
      <c r="F87" s="37" t="n">
        <v>264.44</v>
      </c>
      <c r="G87" s="35" t="n">
        <v>1.8</v>
      </c>
      <c r="H87" s="35" t="n">
        <v>0.27</v>
      </c>
      <c r="I87" s="38" t="n">
        <f aca="false">(J87+G87+H87)/E87</f>
        <v>264.735714285714</v>
      </c>
      <c r="J87" s="38" t="n">
        <v>3704.23</v>
      </c>
    </row>
    <row r="88" customFormat="false" ht="14.15" hidden="false" customHeight="false" outlineLevel="0" collapsed="false">
      <c r="B88" s="35" t="n">
        <v>245</v>
      </c>
      <c r="C88" s="36" t="s">
        <v>69</v>
      </c>
      <c r="D88" s="35" t="s">
        <v>55</v>
      </c>
      <c r="E88" s="35" t="n">
        <v>14</v>
      </c>
      <c r="F88" s="37" t="n">
        <v>264.55</v>
      </c>
      <c r="G88" s="35" t="n">
        <v>1.8</v>
      </c>
      <c r="H88" s="35" t="n">
        <v>0.27</v>
      </c>
      <c r="I88" s="38" t="n">
        <f aca="false">(J88+G88+H88)/E88</f>
        <v>264.845714285714</v>
      </c>
      <c r="J88" s="38" t="n">
        <v>3705.77</v>
      </c>
    </row>
    <row r="89" customFormat="false" ht="14.15" hidden="false" customHeight="false" outlineLevel="0" collapsed="false">
      <c r="B89" s="35" t="n">
        <v>246</v>
      </c>
      <c r="C89" s="36" t="s">
        <v>70</v>
      </c>
      <c r="D89" s="35" t="s">
        <v>55</v>
      </c>
      <c r="E89" s="35" t="n">
        <v>15</v>
      </c>
      <c r="F89" s="37" t="n">
        <v>265.2289</v>
      </c>
      <c r="G89" s="35" t="n">
        <v>1.8</v>
      </c>
      <c r="H89" s="35" t="n">
        <v>0.27</v>
      </c>
      <c r="I89" s="38" t="n">
        <f aca="false">(J89+G89+H89)/E89</f>
        <v>265.5049</v>
      </c>
      <c r="J89" s="38" t="n">
        <v>3980.5035</v>
      </c>
    </row>
    <row r="90" customFormat="false" ht="14.15" hidden="false" customHeight="false" outlineLevel="0" collapsed="false">
      <c r="B90" s="35" t="n">
        <v>247</v>
      </c>
      <c r="C90" s="36" t="s">
        <v>70</v>
      </c>
      <c r="D90" s="35" t="s">
        <v>55</v>
      </c>
      <c r="E90" s="35" t="n">
        <v>14</v>
      </c>
      <c r="F90" s="37" t="n">
        <v>264.27</v>
      </c>
      <c r="G90" s="35" t="n">
        <v>1.8</v>
      </c>
      <c r="H90" s="35" t="n">
        <v>0.27</v>
      </c>
      <c r="I90" s="38" t="n">
        <f aca="false">(J90+G90+H90)/E90</f>
        <v>264.565714285714</v>
      </c>
      <c r="J90" s="38" t="n">
        <v>3701.85</v>
      </c>
    </row>
    <row r="91" customFormat="false" ht="14.15" hidden="false" customHeight="false" outlineLevel="0" collapsed="false">
      <c r="B91" s="35" t="n">
        <v>248</v>
      </c>
      <c r="C91" s="36" t="s">
        <v>70</v>
      </c>
      <c r="D91" s="35" t="s">
        <v>55</v>
      </c>
      <c r="E91" s="35" t="n">
        <v>10</v>
      </c>
      <c r="F91" s="37" t="n">
        <v>262.66</v>
      </c>
      <c r="G91" s="35" t="n">
        <v>1.8</v>
      </c>
      <c r="H91" s="35" t="n">
        <v>0.27</v>
      </c>
      <c r="I91" s="38" t="n">
        <f aca="false">(J91+G91+H91)/E91</f>
        <v>263.074</v>
      </c>
      <c r="J91" s="38" t="n">
        <v>2628.67</v>
      </c>
    </row>
    <row r="92" customFormat="false" ht="14.15" hidden="false" customHeight="false" outlineLevel="0" collapsed="false">
      <c r="B92" s="35" t="n">
        <v>249</v>
      </c>
      <c r="C92" s="36" t="s">
        <v>70</v>
      </c>
      <c r="D92" s="35" t="s">
        <v>55</v>
      </c>
      <c r="E92" s="35" t="n">
        <v>5</v>
      </c>
      <c r="F92" s="37" t="n">
        <v>262.25</v>
      </c>
      <c r="G92" s="35" t="n">
        <v>1.8</v>
      </c>
      <c r="H92" s="35" t="n">
        <v>0.27</v>
      </c>
      <c r="I92" s="38" t="n">
        <f aca="false">(J92+G92+H92)/E92</f>
        <v>263.078</v>
      </c>
      <c r="J92" s="38" t="n">
        <v>1313.32</v>
      </c>
    </row>
    <row r="93" customFormat="false" ht="14.15" hidden="false" customHeight="false" outlineLevel="0" collapsed="false">
      <c r="B93" s="35" t="n">
        <v>250</v>
      </c>
      <c r="C93" s="36" t="s">
        <v>70</v>
      </c>
      <c r="D93" s="35" t="s">
        <v>55</v>
      </c>
      <c r="E93" s="35" t="n">
        <v>10</v>
      </c>
      <c r="F93" s="37" t="n">
        <v>261.66</v>
      </c>
      <c r="G93" s="35" t="n">
        <v>1.8</v>
      </c>
      <c r="H93" s="35" t="n">
        <v>0.27</v>
      </c>
      <c r="I93" s="38" t="n">
        <f aca="false">(J93+G93+H93)/E93</f>
        <v>262.074</v>
      </c>
      <c r="J93" s="38" t="n">
        <v>2618.67</v>
      </c>
    </row>
    <row r="94" customFormat="false" ht="14.15" hidden="false" customHeight="false" outlineLevel="0" collapsed="false">
      <c r="B94" s="35" t="n">
        <v>251</v>
      </c>
      <c r="C94" s="36" t="s">
        <v>70</v>
      </c>
      <c r="D94" s="35" t="s">
        <v>55</v>
      </c>
      <c r="E94" s="35" t="n">
        <v>4</v>
      </c>
      <c r="F94" s="37" t="n">
        <v>260.815</v>
      </c>
      <c r="G94" s="35" t="n">
        <v>1.8</v>
      </c>
      <c r="H94" s="35" t="n">
        <v>0.27</v>
      </c>
      <c r="I94" s="38" t="n">
        <f aca="false">(J94+G94+H94)/E94</f>
        <v>261.85</v>
      </c>
      <c r="J94" s="38" t="n">
        <v>1045.33</v>
      </c>
    </row>
    <row r="95" customFormat="false" ht="14.15" hidden="false" customHeight="false" outlineLevel="0" collapsed="false">
      <c r="A95" s="3"/>
      <c r="B95" s="35" t="n">
        <v>227</v>
      </c>
      <c r="C95" s="36" t="s">
        <v>71</v>
      </c>
      <c r="D95" s="35" t="s">
        <v>55</v>
      </c>
      <c r="E95" s="35" t="n">
        <v>15</v>
      </c>
      <c r="F95" s="37" t="n">
        <v>229.88</v>
      </c>
      <c r="G95" s="35" t="n">
        <v>1.8</v>
      </c>
      <c r="H95" s="35" t="n">
        <v>0.27</v>
      </c>
      <c r="I95" s="38" t="n">
        <f aca="false">(J95+G95+H95)/E95</f>
        <v>230.156</v>
      </c>
      <c r="J95" s="38" t="n">
        <v>3450.27</v>
      </c>
    </row>
    <row r="96" customFormat="false" ht="14.15" hidden="false" customHeight="false" outlineLevel="0" collapsed="false">
      <c r="A96" s="3" t="n">
        <v>1</v>
      </c>
      <c r="B96" s="39" t="n">
        <v>228</v>
      </c>
      <c r="C96" s="40" t="s">
        <v>71</v>
      </c>
      <c r="D96" s="39" t="s">
        <v>55</v>
      </c>
      <c r="E96" s="39" t="n">
        <v>15</v>
      </c>
      <c r="F96" s="41" t="n">
        <v>228.58</v>
      </c>
      <c r="G96" s="35" t="n">
        <v>1.8</v>
      </c>
      <c r="H96" s="35" t="n">
        <v>0.27</v>
      </c>
      <c r="I96" s="38" t="n">
        <f aca="false">(J96+G96+H96)/E96</f>
        <v>228.856</v>
      </c>
      <c r="J96" s="42" t="n">
        <v>3430.77</v>
      </c>
    </row>
    <row r="97" customFormat="false" ht="14.15" hidden="false" customHeight="false" outlineLevel="0" collapsed="false">
      <c r="A97" s="3" t="n">
        <v>1</v>
      </c>
      <c r="B97" s="39" t="n">
        <v>229</v>
      </c>
      <c r="C97" s="40" t="s">
        <v>71</v>
      </c>
      <c r="D97" s="39" t="s">
        <v>55</v>
      </c>
      <c r="E97" s="39" t="n">
        <v>15</v>
      </c>
      <c r="F97" s="41" t="n">
        <v>236.16</v>
      </c>
      <c r="G97" s="35" t="n">
        <v>1.8</v>
      </c>
      <c r="H97" s="35" t="n">
        <v>0.27</v>
      </c>
      <c r="I97" s="38" t="n">
        <f aca="false">(J97+G97+H97)/E97</f>
        <v>236.436</v>
      </c>
      <c r="J97" s="42" t="n">
        <v>3544.47</v>
      </c>
    </row>
    <row r="98" customFormat="false" ht="14.15" hidden="false" customHeight="false" outlineLevel="0" collapsed="false">
      <c r="A98" s="3"/>
      <c r="B98" s="35" t="n">
        <v>230</v>
      </c>
      <c r="C98" s="36" t="s">
        <v>72</v>
      </c>
      <c r="D98" s="35" t="s">
        <v>55</v>
      </c>
      <c r="E98" s="35" t="n">
        <v>15</v>
      </c>
      <c r="F98" s="37" t="n">
        <v>245.1267</v>
      </c>
      <c r="G98" s="35" t="n">
        <v>1.8</v>
      </c>
      <c r="H98" s="35" t="n">
        <v>0.27</v>
      </c>
      <c r="I98" s="38" t="n">
        <f aca="false">(J98+G98+H98)/E98</f>
        <v>245.4027</v>
      </c>
      <c r="J98" s="38" t="n">
        <v>3678.9705</v>
      </c>
    </row>
    <row r="99" customFormat="false" ht="14.15" hidden="false" customHeight="false" outlineLevel="0" collapsed="false">
      <c r="A99" s="3"/>
      <c r="B99" s="35" t="n">
        <v>231</v>
      </c>
      <c r="C99" s="36" t="s">
        <v>72</v>
      </c>
      <c r="D99" s="35" t="s">
        <v>55</v>
      </c>
      <c r="E99" s="35" t="n">
        <v>15</v>
      </c>
      <c r="F99" s="37" t="n">
        <v>245</v>
      </c>
      <c r="G99" s="35" t="n">
        <v>1.8</v>
      </c>
      <c r="H99" s="35" t="n">
        <v>0.27</v>
      </c>
      <c r="I99" s="38" t="n">
        <f aca="false">(J99+G99+H99)/E99</f>
        <v>245.276</v>
      </c>
      <c r="J99" s="38" t="n">
        <v>3677.07</v>
      </c>
    </row>
    <row r="100" customFormat="false" ht="14.15" hidden="false" customHeight="false" outlineLevel="0" collapsed="false">
      <c r="A100" s="3"/>
      <c r="B100" s="35" t="n">
        <v>232</v>
      </c>
      <c r="C100" s="36" t="s">
        <v>72</v>
      </c>
      <c r="D100" s="35" t="s">
        <v>55</v>
      </c>
      <c r="E100" s="35" t="n">
        <v>15</v>
      </c>
      <c r="F100" s="37" t="n">
        <v>244.7</v>
      </c>
      <c r="G100" s="35" t="n">
        <v>1.8</v>
      </c>
      <c r="H100" s="35" t="n">
        <v>0.27</v>
      </c>
      <c r="I100" s="38" t="n">
        <f aca="false">(J100+G100+H100)/E100</f>
        <v>244.976</v>
      </c>
      <c r="J100" s="38" t="n">
        <v>3672.57</v>
      </c>
    </row>
    <row r="101" customFormat="false" ht="14.15" hidden="false" customHeight="false" outlineLevel="0" collapsed="false">
      <c r="A101" s="3"/>
      <c r="B101" s="35" t="n">
        <v>233</v>
      </c>
      <c r="C101" s="36" t="s">
        <v>73</v>
      </c>
      <c r="D101" s="35" t="s">
        <v>55</v>
      </c>
      <c r="E101" s="35" t="n">
        <v>15</v>
      </c>
      <c r="F101" s="37" t="n">
        <v>249.6166</v>
      </c>
      <c r="G101" s="35" t="n">
        <v>1.8</v>
      </c>
      <c r="H101" s="35" t="n">
        <v>0.27</v>
      </c>
      <c r="I101" s="38" t="n">
        <f aca="false">(J101+G101+H101)/E101</f>
        <v>249.8926</v>
      </c>
      <c r="J101" s="38" t="n">
        <v>3746.319</v>
      </c>
    </row>
    <row r="102" customFormat="false" ht="14.15" hidden="false" customHeight="false" outlineLevel="0" collapsed="false">
      <c r="A102" s="3"/>
      <c r="B102" s="35" t="n">
        <v>234</v>
      </c>
      <c r="C102" s="36" t="s">
        <v>73</v>
      </c>
      <c r="D102" s="35" t="s">
        <v>55</v>
      </c>
      <c r="E102" s="35" t="n">
        <v>15</v>
      </c>
      <c r="F102" s="37" t="n">
        <v>247.6889</v>
      </c>
      <c r="G102" s="35" t="n">
        <v>1.8</v>
      </c>
      <c r="H102" s="35" t="n">
        <v>0.27</v>
      </c>
      <c r="I102" s="38" t="n">
        <f aca="false">(J102+G102+H102)/E102</f>
        <v>247.9649</v>
      </c>
      <c r="J102" s="38" t="n">
        <v>3717.4035</v>
      </c>
    </row>
    <row r="103" customFormat="false" ht="14.15" hidden="false" customHeight="false" outlineLevel="0" collapsed="false">
      <c r="A103" s="3"/>
      <c r="B103" s="35" t="n">
        <v>235</v>
      </c>
      <c r="C103" s="36" t="s">
        <v>74</v>
      </c>
      <c r="D103" s="35" t="s">
        <v>55</v>
      </c>
      <c r="E103" s="35" t="n">
        <v>15</v>
      </c>
      <c r="F103" s="37" t="n">
        <v>261.32</v>
      </c>
      <c r="G103" s="35" t="n">
        <v>1.8</v>
      </c>
      <c r="H103" s="35" t="n">
        <v>0.27</v>
      </c>
      <c r="I103" s="38" t="n">
        <f aca="false">(J103+G103+H103)/E103</f>
        <v>261.596</v>
      </c>
      <c r="J103" s="38" t="n">
        <v>3921.87</v>
      </c>
    </row>
    <row r="104" customFormat="false" ht="14.15" hidden="false" customHeight="false" outlineLevel="0" collapsed="false">
      <c r="A104" s="3"/>
      <c r="B104" s="35" t="n">
        <v>236</v>
      </c>
      <c r="C104" s="36" t="s">
        <v>75</v>
      </c>
      <c r="D104" s="35" t="s">
        <v>55</v>
      </c>
      <c r="E104" s="35" t="n">
        <v>15</v>
      </c>
      <c r="F104" s="37" t="n">
        <v>257.93</v>
      </c>
      <c r="G104" s="35" t="n">
        <v>1.8</v>
      </c>
      <c r="H104" s="35" t="n">
        <v>0.27</v>
      </c>
      <c r="I104" s="38" t="n">
        <f aca="false">(J104+G104+H104)/E104</f>
        <v>258.206</v>
      </c>
      <c r="J104" s="38" t="n">
        <v>3871.02</v>
      </c>
    </row>
    <row r="105" customFormat="false" ht="14.15" hidden="false" customHeight="false" outlineLevel="0" collapsed="false">
      <c r="A105" s="3"/>
      <c r="B105" s="35" t="n">
        <v>237</v>
      </c>
      <c r="C105" s="36" t="s">
        <v>75</v>
      </c>
      <c r="D105" s="35" t="s">
        <v>55</v>
      </c>
      <c r="E105" s="35" t="n">
        <v>15</v>
      </c>
      <c r="F105" s="37" t="n">
        <v>257.66</v>
      </c>
      <c r="G105" s="35" t="n">
        <v>1.8</v>
      </c>
      <c r="H105" s="35" t="n">
        <v>0.27</v>
      </c>
      <c r="I105" s="38" t="n">
        <f aca="false">(J105+G105+H105)/E105</f>
        <v>257.936</v>
      </c>
      <c r="J105" s="38" t="n">
        <v>3866.97</v>
      </c>
    </row>
    <row r="106" customFormat="false" ht="14.15" hidden="false" customHeight="false" outlineLevel="0" collapsed="false">
      <c r="A106" s="3"/>
      <c r="B106" s="35" t="n">
        <v>238</v>
      </c>
      <c r="C106" s="36" t="s">
        <v>75</v>
      </c>
      <c r="D106" s="35" t="s">
        <v>55</v>
      </c>
      <c r="E106" s="35" t="n">
        <v>17</v>
      </c>
      <c r="F106" s="37" t="n">
        <v>256.88</v>
      </c>
      <c r="G106" s="35" t="n">
        <v>1.8</v>
      </c>
      <c r="H106" s="35" t="n">
        <v>0.27</v>
      </c>
      <c r="I106" s="38" t="n">
        <f aca="false">(J106+G106+H106)/E106</f>
        <v>257.001764705882</v>
      </c>
      <c r="J106" s="38" t="n">
        <v>4366.96</v>
      </c>
    </row>
    <row r="107" customFormat="false" ht="14.15" hidden="false" customHeight="false" outlineLevel="0" collapsed="false">
      <c r="A107" s="3"/>
      <c r="B107" s="35" t="n">
        <v>239</v>
      </c>
      <c r="C107" s="36" t="s">
        <v>76</v>
      </c>
      <c r="D107" s="35" t="s">
        <v>55</v>
      </c>
      <c r="E107" s="35" t="n">
        <v>15</v>
      </c>
      <c r="F107" s="37" t="n">
        <v>248.22</v>
      </c>
      <c r="G107" s="35" t="n">
        <v>1.8</v>
      </c>
      <c r="H107" s="35" t="n">
        <v>0.27</v>
      </c>
      <c r="I107" s="38" t="n">
        <f aca="false">(J107+G107+H107)/E107</f>
        <v>248.496</v>
      </c>
      <c r="J107" s="38" t="n">
        <v>3725.37</v>
      </c>
    </row>
    <row r="108" customFormat="false" ht="14.15" hidden="false" customHeight="false" outlineLevel="0" collapsed="false">
      <c r="A108" s="3" t="n">
        <v>1</v>
      </c>
      <c r="B108" s="39" t="n">
        <v>240</v>
      </c>
      <c r="C108" s="40" t="s">
        <v>21</v>
      </c>
      <c r="D108" s="39" t="s">
        <v>55</v>
      </c>
      <c r="E108" s="39" t="n">
        <v>16</v>
      </c>
      <c r="F108" s="41" t="n">
        <v>226</v>
      </c>
      <c r="G108" s="35" t="n">
        <v>1.8</v>
      </c>
      <c r="H108" s="35" t="n">
        <v>0.27</v>
      </c>
      <c r="I108" s="38" t="n">
        <f aca="false">(J108+G108+H108)/E108</f>
        <v>226.25875</v>
      </c>
      <c r="J108" s="42" t="n">
        <v>3618.07</v>
      </c>
    </row>
    <row r="109" customFormat="false" ht="14.15" hidden="false" customHeight="false" outlineLevel="0" collapsed="false">
      <c r="A109" s="3" t="n">
        <v>1</v>
      </c>
      <c r="B109" s="39" t="n">
        <v>241</v>
      </c>
      <c r="C109" s="40" t="s">
        <v>22</v>
      </c>
      <c r="D109" s="39" t="s">
        <v>55</v>
      </c>
      <c r="E109" s="39" t="n">
        <v>18</v>
      </c>
      <c r="F109" s="41" t="n">
        <v>218.49</v>
      </c>
      <c r="G109" s="35" t="n">
        <v>1.8</v>
      </c>
      <c r="H109" s="35" t="n">
        <v>0.27</v>
      </c>
      <c r="I109" s="38" t="n">
        <f aca="false">(J109+G109+H109)/E109</f>
        <v>218.72</v>
      </c>
      <c r="J109" s="42" t="n">
        <v>3934.89</v>
      </c>
    </row>
    <row r="110" customFormat="false" ht="14.15" hidden="false" customHeight="false" outlineLevel="0" collapsed="false">
      <c r="A110" s="3" t="n">
        <v>1</v>
      </c>
      <c r="B110" s="39" t="n">
        <v>242</v>
      </c>
      <c r="C110" s="40" t="s">
        <v>23</v>
      </c>
      <c r="D110" s="39" t="s">
        <v>55</v>
      </c>
      <c r="E110" s="43" t="n">
        <v>15</v>
      </c>
      <c r="F110" s="44" t="n">
        <v>183.66</v>
      </c>
      <c r="G110" s="35" t="n">
        <v>1.8</v>
      </c>
      <c r="H110" s="35" t="n">
        <v>0.27</v>
      </c>
      <c r="I110" s="45" t="n">
        <f aca="false">(J110+G110+H110)/E110</f>
        <v>183.936</v>
      </c>
      <c r="J110" s="45" t="n">
        <v>2756.97</v>
      </c>
    </row>
    <row r="111" customFormat="false" ht="14.15" hidden="false" customHeight="false" outlineLevel="0" collapsed="false">
      <c r="A111" s="3"/>
      <c r="B111" s="35" t="n">
        <v>243</v>
      </c>
      <c r="C111" s="36" t="s">
        <v>77</v>
      </c>
      <c r="D111" s="35" t="s">
        <v>55</v>
      </c>
      <c r="E111" s="35" t="n">
        <v>14</v>
      </c>
      <c r="F111" s="37" t="n">
        <v>186.55</v>
      </c>
      <c r="G111" s="35" t="n">
        <v>1.8</v>
      </c>
      <c r="H111" s="35" t="n">
        <v>0.27</v>
      </c>
      <c r="I111" s="38" t="n">
        <f aca="false">(J111+G111+H111)/E111</f>
        <v>186.845714285714</v>
      </c>
      <c r="J111" s="38" t="n">
        <v>2613.77</v>
      </c>
    </row>
    <row r="112" customFormat="false" ht="14.15" hidden="false" customHeight="false" outlineLevel="0" collapsed="false">
      <c r="A112" s="3" t="n">
        <v>1</v>
      </c>
      <c r="B112" s="39" t="n">
        <v>244</v>
      </c>
      <c r="C112" s="40" t="s">
        <v>76</v>
      </c>
      <c r="D112" s="39" t="s">
        <v>55</v>
      </c>
      <c r="E112" s="43" t="n">
        <v>14</v>
      </c>
      <c r="F112" s="44" t="n">
        <v>185.8</v>
      </c>
      <c r="G112" s="35" t="n">
        <v>1.8</v>
      </c>
      <c r="H112" s="35" t="n">
        <v>0.27</v>
      </c>
      <c r="I112" s="45" t="n">
        <f aca="false">(J112+G112+H112)/E112</f>
        <v>186.095714285714</v>
      </c>
      <c r="J112" s="45" t="n">
        <v>2603.27</v>
      </c>
    </row>
    <row r="113" customFormat="false" ht="14.15" hidden="false" customHeight="false" outlineLevel="0" collapsed="false">
      <c r="A113" s="3"/>
      <c r="B113" s="35" t="n">
        <v>245</v>
      </c>
      <c r="C113" s="36" t="s">
        <v>24</v>
      </c>
      <c r="D113" s="35" t="s">
        <v>55</v>
      </c>
      <c r="E113" s="35" t="n">
        <v>15</v>
      </c>
      <c r="F113" s="37" t="n">
        <v>189.37</v>
      </c>
      <c r="G113" s="35" t="n">
        <v>1.8</v>
      </c>
      <c r="H113" s="35" t="n">
        <v>0.27</v>
      </c>
      <c r="I113" s="38" t="n">
        <f aca="false">(J113+G113+H113)/E113</f>
        <v>189.646</v>
      </c>
      <c r="J113" s="38" t="n">
        <v>2842.62</v>
      </c>
    </row>
    <row r="114" customFormat="false" ht="14.15" hidden="false" customHeight="false" outlineLevel="0" collapsed="false">
      <c r="A114" s="3"/>
      <c r="B114" s="35" t="n">
        <v>246</v>
      </c>
      <c r="C114" s="36" t="s">
        <v>78</v>
      </c>
      <c r="D114" s="35" t="s">
        <v>55</v>
      </c>
      <c r="E114" s="35" t="n">
        <v>15</v>
      </c>
      <c r="F114" s="37" t="n">
        <v>167.59</v>
      </c>
      <c r="G114" s="35" t="n">
        <v>1.8</v>
      </c>
      <c r="H114" s="35" t="n">
        <v>0.27</v>
      </c>
      <c r="I114" s="38" t="n">
        <f aca="false">(J114+G114+H114)/E114</f>
        <v>167.866</v>
      </c>
      <c r="J114" s="38" t="n">
        <v>2515.92</v>
      </c>
    </row>
    <row r="115" customFormat="false" ht="14.15" hidden="false" customHeight="false" outlineLevel="0" collapsed="false">
      <c r="A115" s="3"/>
      <c r="B115" s="35" t="n">
        <v>247</v>
      </c>
      <c r="C115" s="36" t="s">
        <v>79</v>
      </c>
      <c r="D115" s="35" t="s">
        <v>55</v>
      </c>
      <c r="E115" s="35" t="n">
        <v>14</v>
      </c>
      <c r="F115" s="37" t="n">
        <v>172.36</v>
      </c>
      <c r="G115" s="35" t="n">
        <v>1.8</v>
      </c>
      <c r="H115" s="35" t="n">
        <v>0.27</v>
      </c>
      <c r="I115" s="38" t="n">
        <f aca="false">(J115+G115+H115)/E115</f>
        <v>172.655714285714</v>
      </c>
      <c r="J115" s="38" t="n">
        <v>2415.11</v>
      </c>
    </row>
    <row r="116" customFormat="false" ht="14.15" hidden="false" customHeight="false" outlineLevel="0" collapsed="false">
      <c r="A116" s="3" t="n">
        <v>1</v>
      </c>
      <c r="B116" s="39" t="n">
        <v>248</v>
      </c>
      <c r="C116" s="40" t="s">
        <v>79</v>
      </c>
      <c r="D116" s="39" t="s">
        <v>55</v>
      </c>
      <c r="E116" s="43" t="n">
        <v>14</v>
      </c>
      <c r="F116" s="44" t="n">
        <v>175.15</v>
      </c>
      <c r="G116" s="35" t="n">
        <v>1.8</v>
      </c>
      <c r="H116" s="35" t="n">
        <v>0.27</v>
      </c>
      <c r="I116" s="45" t="n">
        <f aca="false">(J116+G116+H116)/E116</f>
        <v>175.445714285714</v>
      </c>
      <c r="J116" s="45" t="n">
        <v>2454.17</v>
      </c>
    </row>
    <row r="117" customFormat="false" ht="14.15" hidden="false" customHeight="false" outlineLevel="0" collapsed="false">
      <c r="A117" s="3" t="n">
        <v>1</v>
      </c>
      <c r="B117" s="39" t="n">
        <v>249</v>
      </c>
      <c r="C117" s="40" t="s">
        <v>26</v>
      </c>
      <c r="D117" s="39" t="s">
        <v>55</v>
      </c>
      <c r="E117" s="46" t="n">
        <v>15</v>
      </c>
      <c r="F117" s="47" t="n">
        <v>169.66</v>
      </c>
      <c r="G117" s="35" t="n">
        <v>1.8</v>
      </c>
      <c r="H117" s="35" t="n">
        <v>0.27</v>
      </c>
      <c r="I117" s="48" t="n">
        <f aca="false">(J117+G117+H117)/E117</f>
        <v>169.936</v>
      </c>
      <c r="J117" s="48" t="n">
        <v>2546.97</v>
      </c>
    </row>
    <row r="118" customFormat="false" ht="14.15" hidden="false" customHeight="false" outlineLevel="0" collapsed="false">
      <c r="A118" s="3" t="n">
        <v>1</v>
      </c>
      <c r="B118" s="39" t="n">
        <v>250</v>
      </c>
      <c r="C118" s="40" t="s">
        <v>27</v>
      </c>
      <c r="D118" s="39" t="s">
        <v>55</v>
      </c>
      <c r="E118" s="49" t="n">
        <v>17</v>
      </c>
      <c r="F118" s="50" t="n">
        <v>154.55</v>
      </c>
      <c r="G118" s="35" t="n">
        <v>1.8</v>
      </c>
      <c r="H118" s="35" t="n">
        <v>0.27</v>
      </c>
      <c r="I118" s="51" t="n">
        <f aca="false">(J118+G118+H118)/E118</f>
        <v>154.793529411765</v>
      </c>
      <c r="J118" s="51" t="n">
        <v>2629.42</v>
      </c>
    </row>
    <row r="119" customFormat="false" ht="14.15" hidden="false" customHeight="false" outlineLevel="0" collapsed="false">
      <c r="A119" s="3" t="n">
        <v>1</v>
      </c>
      <c r="B119" s="39" t="n">
        <v>251</v>
      </c>
      <c r="C119" s="40" t="s">
        <v>28</v>
      </c>
      <c r="D119" s="39" t="s">
        <v>55</v>
      </c>
      <c r="E119" s="43" t="n">
        <v>15</v>
      </c>
      <c r="F119" s="44" t="n">
        <v>188.31</v>
      </c>
      <c r="G119" s="35" t="n">
        <v>1.8</v>
      </c>
      <c r="H119" s="35" t="n">
        <v>0.27</v>
      </c>
      <c r="I119" s="45" t="n">
        <f aca="false">(J119+G119+H119)/E119</f>
        <v>188.586</v>
      </c>
      <c r="J119" s="45" t="n">
        <v>2826.72</v>
      </c>
    </row>
    <row r="120" customFormat="false" ht="14.15" hidden="false" customHeight="false" outlineLevel="0" collapsed="false">
      <c r="A120" s="3" t="n">
        <v>1</v>
      </c>
      <c r="B120" s="39" t="n">
        <v>252</v>
      </c>
      <c r="C120" s="40" t="s">
        <v>29</v>
      </c>
      <c r="D120" s="39" t="s">
        <v>55</v>
      </c>
      <c r="E120" s="43" t="n">
        <v>5</v>
      </c>
      <c r="F120" s="44" t="n">
        <v>180.46</v>
      </c>
      <c r="G120" s="35" t="n">
        <v>1.8</v>
      </c>
      <c r="H120" s="35" t="n">
        <v>0.27</v>
      </c>
      <c r="I120" s="45" t="n">
        <f aca="false">(J120+G120+H120)/E120</f>
        <v>181.288</v>
      </c>
      <c r="J120" s="45" t="n">
        <v>904.37</v>
      </c>
    </row>
    <row r="121" customFormat="false" ht="14.15" hidden="false" customHeight="false" outlineLevel="0" collapsed="false">
      <c r="A121" s="3" t="n">
        <v>1</v>
      </c>
      <c r="B121" s="39" t="n">
        <v>253</v>
      </c>
      <c r="C121" s="40" t="s">
        <v>80</v>
      </c>
      <c r="D121" s="39" t="s">
        <v>55</v>
      </c>
      <c r="E121" s="39" t="n">
        <v>15</v>
      </c>
      <c r="F121" s="41" t="n">
        <v>195.57</v>
      </c>
      <c r="G121" s="35" t="n">
        <v>1.8</v>
      </c>
      <c r="H121" s="35" t="n">
        <v>0.27</v>
      </c>
      <c r="I121" s="38" t="n">
        <f aca="false">(J121+G121+H121)/E121</f>
        <v>195.846</v>
      </c>
      <c r="J121" s="42" t="n">
        <v>2935.62</v>
      </c>
    </row>
    <row r="122" customFormat="false" ht="14.15" hidden="false" customHeight="false" outlineLevel="0" collapsed="false">
      <c r="A122" s="3" t="n">
        <v>1</v>
      </c>
      <c r="B122" s="39" t="n">
        <v>254</v>
      </c>
      <c r="C122" s="40" t="s">
        <v>81</v>
      </c>
      <c r="D122" s="39" t="s">
        <v>55</v>
      </c>
      <c r="E122" s="39" t="n">
        <v>15</v>
      </c>
      <c r="F122" s="41" t="n">
        <v>227.77</v>
      </c>
      <c r="G122" s="35" t="n">
        <v>1.8</v>
      </c>
      <c r="H122" s="35" t="n">
        <v>0.27</v>
      </c>
      <c r="I122" s="38" t="n">
        <f aca="false">(J122+G122+H122)/E122</f>
        <v>228.046</v>
      </c>
      <c r="J122" s="42" t="n">
        <v>3418.62</v>
      </c>
    </row>
    <row r="123" customFormat="false" ht="14.15" hidden="false" customHeight="false" outlineLevel="0" collapsed="false">
      <c r="A123" s="3"/>
      <c r="B123" s="35" t="n">
        <v>255</v>
      </c>
      <c r="C123" s="36" t="s">
        <v>82</v>
      </c>
      <c r="D123" s="35" t="s">
        <v>55</v>
      </c>
      <c r="E123" s="35" t="n">
        <v>15</v>
      </c>
      <c r="F123" s="37" t="n">
        <v>253.34</v>
      </c>
      <c r="G123" s="35" t="n">
        <v>1.8</v>
      </c>
      <c r="H123" s="35" t="n">
        <v>0.27</v>
      </c>
      <c r="I123" s="38" t="n">
        <f aca="false">(J123+G123+H123)/E123</f>
        <v>253.616</v>
      </c>
      <c r="J123" s="38" t="n">
        <v>3802.17</v>
      </c>
    </row>
    <row r="124" customFormat="false" ht="14.15" hidden="false" customHeight="false" outlineLevel="0" collapsed="false">
      <c r="A124" s="3"/>
      <c r="B124" s="35" t="n">
        <v>256</v>
      </c>
      <c r="C124" s="36" t="s">
        <v>82</v>
      </c>
      <c r="D124" s="35" t="s">
        <v>55</v>
      </c>
      <c r="E124" s="35" t="n">
        <v>15</v>
      </c>
      <c r="F124" s="37" t="n">
        <v>251.17</v>
      </c>
      <c r="G124" s="35" t="n">
        <v>1.8</v>
      </c>
      <c r="H124" s="35" t="n">
        <v>0.27</v>
      </c>
      <c r="I124" s="38" t="n">
        <f aca="false">(J124+G124+H124)/E124</f>
        <v>251.446</v>
      </c>
      <c r="J124" s="38" t="n">
        <v>3769.62</v>
      </c>
    </row>
    <row r="125" customFormat="false" ht="14.15" hidden="false" customHeight="false" outlineLevel="0" collapsed="false">
      <c r="A125" s="3"/>
      <c r="B125" s="35" t="n">
        <v>257</v>
      </c>
      <c r="C125" s="36" t="s">
        <v>82</v>
      </c>
      <c r="D125" s="35" t="s">
        <v>55</v>
      </c>
      <c r="E125" s="35" t="n">
        <v>15</v>
      </c>
      <c r="F125" s="37" t="n">
        <v>249.5</v>
      </c>
      <c r="G125" s="35" t="n">
        <v>1.8</v>
      </c>
      <c r="H125" s="35" t="n">
        <v>0.27</v>
      </c>
      <c r="I125" s="38" t="n">
        <f aca="false">(J125+G125+H125)/E125</f>
        <v>249.776</v>
      </c>
      <c r="J125" s="38" t="n">
        <v>3744.57</v>
      </c>
    </row>
    <row r="126" customFormat="false" ht="14.15" hidden="false" customHeight="false" outlineLevel="0" collapsed="false">
      <c r="A126" s="3"/>
      <c r="B126" s="35" t="n">
        <v>258</v>
      </c>
      <c r="C126" s="36" t="s">
        <v>82</v>
      </c>
      <c r="D126" s="35" t="s">
        <v>55</v>
      </c>
      <c r="E126" s="35" t="n">
        <v>15</v>
      </c>
      <c r="F126" s="37" t="n">
        <v>246.77</v>
      </c>
      <c r="G126" s="35" t="n">
        <v>1.8</v>
      </c>
      <c r="H126" s="35" t="n">
        <v>0.27</v>
      </c>
      <c r="I126" s="38" t="n">
        <f aca="false">(J126+G126+H126)/E126</f>
        <v>247.046</v>
      </c>
      <c r="J126" s="38" t="n">
        <v>3703.62</v>
      </c>
    </row>
    <row r="127" customFormat="false" ht="14.15" hidden="false" customHeight="false" outlineLevel="0" collapsed="false">
      <c r="A127" s="3" t="n">
        <v>1</v>
      </c>
      <c r="B127" s="39" t="n">
        <v>257</v>
      </c>
      <c r="C127" s="40" t="s">
        <v>83</v>
      </c>
      <c r="D127" s="39" t="s">
        <v>55</v>
      </c>
      <c r="E127" s="39" t="n">
        <v>19</v>
      </c>
      <c r="F127" s="41" t="n">
        <v>235.99</v>
      </c>
      <c r="G127" s="35" t="n">
        <v>1.8</v>
      </c>
      <c r="H127" s="35" t="n">
        <v>0.27</v>
      </c>
      <c r="I127" s="38" t="n">
        <f aca="false">(J127+G127+H127)/E127</f>
        <v>236.207894736842</v>
      </c>
      <c r="J127" s="42" t="n">
        <v>4485.88</v>
      </c>
    </row>
    <row r="128" customFormat="false" ht="14.15" hidden="false" customHeight="false" outlineLevel="0" collapsed="false">
      <c r="A128" s="3"/>
      <c r="B128" s="35" t="n">
        <v>258</v>
      </c>
      <c r="C128" s="36" t="s">
        <v>84</v>
      </c>
      <c r="D128" s="35" t="s">
        <v>55</v>
      </c>
      <c r="E128" s="35" t="n">
        <v>15</v>
      </c>
      <c r="F128" s="37" t="n">
        <v>259.89</v>
      </c>
      <c r="G128" s="35" t="n">
        <v>1.8</v>
      </c>
      <c r="H128" s="35" t="n">
        <v>0.27</v>
      </c>
      <c r="I128" s="38" t="n">
        <f aca="false">(J128+G128+H128)/E128</f>
        <v>260.166</v>
      </c>
      <c r="J128" s="38" t="n">
        <v>3900.42</v>
      </c>
    </row>
    <row r="129" customFormat="false" ht="14.15" hidden="false" customHeight="false" outlineLevel="0" collapsed="false">
      <c r="A129" s="3"/>
      <c r="B129" s="35" t="n">
        <v>271</v>
      </c>
      <c r="C129" s="36" t="s">
        <v>85</v>
      </c>
      <c r="D129" s="35" t="s">
        <v>55</v>
      </c>
      <c r="E129" s="35" t="n">
        <v>17</v>
      </c>
      <c r="F129" s="37" t="n">
        <v>240.15</v>
      </c>
      <c r="G129" s="35" t="n">
        <v>1.8</v>
      </c>
      <c r="H129" s="35" t="n">
        <v>0.27</v>
      </c>
      <c r="I129" s="38" t="n">
        <f aca="false">(J129+G129+H129)/E129</f>
        <v>240.393529411765</v>
      </c>
      <c r="J129" s="38" t="n">
        <v>4084.62</v>
      </c>
    </row>
    <row r="130" customFormat="false" ht="14.15" hidden="false" customHeight="false" outlineLevel="0" collapsed="false">
      <c r="A130" s="3" t="n">
        <v>1</v>
      </c>
      <c r="B130" s="39" t="n">
        <v>272</v>
      </c>
      <c r="C130" s="40" t="s">
        <v>30</v>
      </c>
      <c r="D130" s="39" t="s">
        <v>55</v>
      </c>
      <c r="E130" s="39" t="n">
        <v>15</v>
      </c>
      <c r="F130" s="41" t="n">
        <v>200.98</v>
      </c>
      <c r="G130" s="35" t="n">
        <v>1.8</v>
      </c>
      <c r="H130" s="35" t="n">
        <v>0.27</v>
      </c>
      <c r="I130" s="38" t="n">
        <f aca="false">(J130+G130+H130)/E130</f>
        <v>201.256</v>
      </c>
      <c r="J130" s="42" t="n">
        <v>3016.77</v>
      </c>
    </row>
    <row r="131" customFormat="false" ht="14.15" hidden="false" customHeight="false" outlineLevel="0" collapsed="false">
      <c r="A131" s="3" t="n">
        <v>1</v>
      </c>
      <c r="B131" s="39" t="n">
        <v>273</v>
      </c>
      <c r="C131" s="40" t="s">
        <v>30</v>
      </c>
      <c r="D131" s="39" t="s">
        <v>55</v>
      </c>
      <c r="E131" s="39" t="n">
        <v>11</v>
      </c>
      <c r="F131" s="41" t="n">
        <v>192.55</v>
      </c>
      <c r="G131" s="35" t="n">
        <v>1.8</v>
      </c>
      <c r="H131" s="35" t="n">
        <v>0.27</v>
      </c>
      <c r="I131" s="38" t="n">
        <f aca="false">(J131+G131+H131)/E131</f>
        <v>192.926363636364</v>
      </c>
      <c r="J131" s="42" t="n">
        <v>2120.12</v>
      </c>
    </row>
    <row r="132" customFormat="false" ht="14.15" hidden="false" customHeight="false" outlineLevel="0" collapsed="false">
      <c r="A132" s="3"/>
      <c r="B132" s="35" t="n">
        <v>274</v>
      </c>
      <c r="C132" s="36" t="s">
        <v>86</v>
      </c>
      <c r="D132" s="35" t="s">
        <v>55</v>
      </c>
      <c r="E132" s="35" t="n">
        <v>15</v>
      </c>
      <c r="F132" s="37" t="n">
        <v>230.31</v>
      </c>
      <c r="G132" s="35" t="n">
        <v>1.8</v>
      </c>
      <c r="H132" s="35" t="n">
        <v>0.27</v>
      </c>
      <c r="I132" s="38" t="n">
        <f aca="false">(J132+G132+H132)/E132</f>
        <v>230.586</v>
      </c>
      <c r="J132" s="38" t="n">
        <v>3456.72</v>
      </c>
    </row>
    <row r="133" customFormat="false" ht="14.15" hidden="false" customHeight="false" outlineLevel="0" collapsed="false">
      <c r="A133" s="3" t="n">
        <v>1</v>
      </c>
      <c r="B133" s="39" t="n">
        <v>282</v>
      </c>
      <c r="C133" s="40" t="s">
        <v>87</v>
      </c>
      <c r="D133" s="39" t="s">
        <v>55</v>
      </c>
      <c r="E133" s="39" t="n">
        <v>15</v>
      </c>
      <c r="F133" s="41" t="n">
        <v>239.15</v>
      </c>
      <c r="G133" s="35" t="n">
        <v>1.8</v>
      </c>
      <c r="H133" s="35" t="n">
        <v>0.27</v>
      </c>
      <c r="I133" s="38" t="n">
        <f aca="false">(J133+G133+H133)/E133</f>
        <v>239.426</v>
      </c>
      <c r="J133" s="42" t="n">
        <v>3589.32</v>
      </c>
    </row>
    <row r="134" customFormat="false" ht="14.15" hidden="false" customHeight="false" outlineLevel="0" collapsed="false">
      <c r="A134" s="3" t="n">
        <v>1</v>
      </c>
      <c r="B134" s="39" t="n">
        <v>275</v>
      </c>
      <c r="C134" s="40" t="s">
        <v>88</v>
      </c>
      <c r="D134" s="39" t="s">
        <v>55</v>
      </c>
      <c r="E134" s="39" t="n">
        <v>15</v>
      </c>
      <c r="F134" s="41" t="n">
        <v>239.83</v>
      </c>
      <c r="G134" s="35" t="n">
        <v>1.8</v>
      </c>
      <c r="H134" s="35" t="n">
        <v>0.27</v>
      </c>
      <c r="I134" s="38" t="n">
        <f aca="false">(J134+G134+H134)/E134</f>
        <v>240.106</v>
      </c>
      <c r="J134" s="42" t="n">
        <v>3599.52</v>
      </c>
    </row>
    <row r="135" customFormat="false" ht="14.15" hidden="false" customHeight="false" outlineLevel="0" collapsed="false">
      <c r="A135" s="3"/>
      <c r="B135" s="35" t="n">
        <v>276</v>
      </c>
      <c r="C135" s="36" t="s">
        <v>89</v>
      </c>
      <c r="D135" s="35" t="s">
        <v>55</v>
      </c>
      <c r="E135" s="35" t="n">
        <v>15</v>
      </c>
      <c r="F135" s="37" t="n">
        <v>259.28</v>
      </c>
      <c r="G135" s="35" t="n">
        <v>1.8</v>
      </c>
      <c r="H135" s="35" t="n">
        <v>0.27</v>
      </c>
      <c r="I135" s="38" t="n">
        <f aca="false">(J135+G135+H135)/E135</f>
        <v>259.556</v>
      </c>
      <c r="J135" s="38" t="n">
        <v>3891.27</v>
      </c>
    </row>
    <row r="136" customFormat="false" ht="14.15" hidden="false" customHeight="false" outlineLevel="0" collapsed="false">
      <c r="A136" s="3"/>
      <c r="B136" s="35" t="n">
        <v>277</v>
      </c>
      <c r="C136" s="36" t="s">
        <v>89</v>
      </c>
      <c r="D136" s="35" t="s">
        <v>55</v>
      </c>
      <c r="E136" s="35" t="n">
        <v>15</v>
      </c>
      <c r="F136" s="37" t="n">
        <v>251.77</v>
      </c>
      <c r="G136" s="35" t="n">
        <v>1.8</v>
      </c>
      <c r="H136" s="35" t="n">
        <v>0.27</v>
      </c>
      <c r="I136" s="38" t="n">
        <f aca="false">(J136+G136+H136)/E136</f>
        <v>252.046</v>
      </c>
      <c r="J136" s="38" t="n">
        <v>3778.62</v>
      </c>
    </row>
    <row r="137" customFormat="false" ht="14.15" hidden="false" customHeight="false" outlineLevel="0" collapsed="false">
      <c r="A137" s="3"/>
      <c r="B137" s="35" t="n">
        <v>278</v>
      </c>
      <c r="C137" s="36" t="s">
        <v>90</v>
      </c>
      <c r="D137" s="35" t="s">
        <v>55</v>
      </c>
      <c r="E137" s="35" t="n">
        <v>15</v>
      </c>
      <c r="F137" s="37" t="n">
        <v>251.44</v>
      </c>
      <c r="G137" s="35" t="n">
        <v>1.8</v>
      </c>
      <c r="H137" s="35" t="n">
        <v>0.27</v>
      </c>
      <c r="I137" s="38" t="n">
        <f aca="false">(J137+G137+H137)/E137</f>
        <v>251.716</v>
      </c>
      <c r="J137" s="38" t="n">
        <v>3773.67</v>
      </c>
    </row>
    <row r="138" customFormat="false" ht="14.15" hidden="false" customHeight="false" outlineLevel="0" collapsed="false">
      <c r="A138" s="3"/>
      <c r="B138" s="35" t="n">
        <v>286</v>
      </c>
      <c r="C138" s="36" t="s">
        <v>91</v>
      </c>
      <c r="D138" s="35" t="s">
        <v>55</v>
      </c>
      <c r="E138" s="35" t="n">
        <v>19</v>
      </c>
      <c r="F138" s="37" t="n">
        <v>410.57</v>
      </c>
      <c r="G138" s="35" t="n">
        <v>1.8</v>
      </c>
      <c r="H138" s="35" t="n">
        <v>0.27</v>
      </c>
      <c r="I138" s="38" t="n">
        <f aca="false">(J138+G138+H138)/E138</f>
        <v>410.787894736842</v>
      </c>
      <c r="J138" s="38" t="n">
        <v>7802.9</v>
      </c>
    </row>
    <row r="139" customFormat="false" ht="14.15" hidden="false" customHeight="false" outlineLevel="0" collapsed="false">
      <c r="A139" s="3"/>
      <c r="B139" s="35" t="n">
        <v>287</v>
      </c>
      <c r="C139" s="36" t="s">
        <v>92</v>
      </c>
      <c r="D139" s="35" t="s">
        <v>55</v>
      </c>
      <c r="E139" s="52" t="n">
        <v>18</v>
      </c>
      <c r="F139" s="53" t="n">
        <v>398.52</v>
      </c>
      <c r="G139" s="35" t="n">
        <v>1.8</v>
      </c>
      <c r="H139" s="35" t="n">
        <v>0.27</v>
      </c>
      <c r="I139" s="53" t="n">
        <f aca="false">(J139+G139+H139)/E139</f>
        <v>398.75</v>
      </c>
      <c r="J139" s="53" t="n">
        <v>7175.43</v>
      </c>
    </row>
    <row r="140" customFormat="false" ht="14.15" hidden="false" customHeight="false" outlineLevel="0" collapsed="false">
      <c r="A140" s="3"/>
      <c r="B140" s="35" t="n">
        <v>288</v>
      </c>
      <c r="C140" s="36" t="s">
        <v>93</v>
      </c>
      <c r="D140" s="35" t="s">
        <v>55</v>
      </c>
      <c r="E140" s="35" t="n">
        <v>18</v>
      </c>
      <c r="F140" s="37" t="n">
        <v>418.67</v>
      </c>
      <c r="G140" s="35" t="n">
        <v>1.8</v>
      </c>
      <c r="H140" s="35" t="n">
        <v>0.27</v>
      </c>
      <c r="I140" s="38" t="n">
        <f aca="false">(J140+G140+H140)/E140</f>
        <v>418.9</v>
      </c>
      <c r="J140" s="38" t="n">
        <v>7538.13</v>
      </c>
    </row>
    <row r="141" customFormat="false" ht="14.15" hidden="false" customHeight="false" outlineLevel="0" collapsed="false">
      <c r="A141" s="3"/>
      <c r="B141" s="35" t="n">
        <v>289</v>
      </c>
      <c r="C141" s="36" t="s">
        <v>94</v>
      </c>
      <c r="D141" s="35" t="s">
        <v>55</v>
      </c>
      <c r="E141" s="35" t="n">
        <v>18</v>
      </c>
      <c r="F141" s="37" t="n">
        <v>410.77</v>
      </c>
      <c r="G141" s="35" t="n">
        <v>1.8</v>
      </c>
      <c r="H141" s="35" t="n">
        <v>0.27</v>
      </c>
      <c r="I141" s="38" t="n">
        <f aca="false">(J141+G141+H141)/E141</f>
        <v>411</v>
      </c>
      <c r="J141" s="38" t="n">
        <v>7395.93</v>
      </c>
    </row>
    <row r="142" customFormat="false" ht="14.15" hidden="false" customHeight="false" outlineLevel="0" collapsed="false">
      <c r="A142" s="3"/>
      <c r="B142" s="35" t="n">
        <v>290</v>
      </c>
      <c r="C142" s="36" t="s">
        <v>95</v>
      </c>
      <c r="D142" s="35" t="s">
        <v>55</v>
      </c>
      <c r="E142" s="35" t="n">
        <v>20</v>
      </c>
      <c r="F142" s="37" t="n">
        <v>376.48</v>
      </c>
      <c r="G142" s="35" t="n">
        <v>1.8</v>
      </c>
      <c r="H142" s="35" t="n">
        <v>0.27</v>
      </c>
      <c r="I142" s="37" t="n">
        <f aca="false">(J142+G142+H142)/E142</f>
        <v>376.687</v>
      </c>
      <c r="J142" s="37" t="n">
        <v>7531.67</v>
      </c>
    </row>
    <row r="143" customFormat="false" ht="14.15" hidden="false" customHeight="false" outlineLevel="0" collapsed="false">
      <c r="A143" s="3" t="n">
        <v>1</v>
      </c>
      <c r="B143" s="39" t="n">
        <v>291</v>
      </c>
      <c r="C143" s="40" t="s">
        <v>96</v>
      </c>
      <c r="D143" s="39" t="s">
        <v>55</v>
      </c>
      <c r="E143" s="54" t="n">
        <v>11</v>
      </c>
      <c r="F143" s="55" t="n">
        <v>343.11</v>
      </c>
      <c r="G143" s="35" t="n">
        <v>1.8</v>
      </c>
      <c r="H143" s="35" t="n">
        <v>0.27</v>
      </c>
      <c r="I143" s="37" t="n">
        <f aca="false">(J143+G143+H143)/E143</f>
        <v>343.486363636364</v>
      </c>
      <c r="J143" s="55" t="n">
        <v>3776.28</v>
      </c>
    </row>
    <row r="144" customFormat="false" ht="14.15" hidden="false" customHeight="false" outlineLevel="0" collapsed="false">
      <c r="A144" s="3" t="n">
        <v>1</v>
      </c>
      <c r="B144" s="39" t="n">
        <v>292</v>
      </c>
      <c r="C144" s="40" t="s">
        <v>33</v>
      </c>
      <c r="D144" s="39" t="s">
        <v>55</v>
      </c>
      <c r="E144" s="39" t="n">
        <v>5</v>
      </c>
      <c r="F144" s="41" t="n">
        <v>272.3</v>
      </c>
      <c r="G144" s="35" t="n">
        <v>1.8</v>
      </c>
      <c r="H144" s="35" t="n">
        <v>0.27</v>
      </c>
      <c r="I144" s="38" t="n">
        <f aca="false">(J144+G144+H144)/E144</f>
        <v>273.128</v>
      </c>
      <c r="J144" s="42" t="n">
        <v>1363.57</v>
      </c>
    </row>
    <row r="145" customFormat="false" ht="14.15" hidden="false" customHeight="false" outlineLevel="0" collapsed="false">
      <c r="A145" s="3" t="n">
        <v>1</v>
      </c>
      <c r="B145" s="39" t="n">
        <v>293</v>
      </c>
      <c r="C145" s="40" t="s">
        <v>33</v>
      </c>
      <c r="D145" s="39" t="s">
        <v>55</v>
      </c>
      <c r="E145" s="39" t="n">
        <v>6</v>
      </c>
      <c r="F145" s="41" t="n">
        <v>263.63</v>
      </c>
      <c r="G145" s="35" t="n">
        <v>1.8</v>
      </c>
      <c r="H145" s="35" t="n">
        <v>0.27</v>
      </c>
      <c r="I145" s="38" t="n">
        <f aca="false">(J145+G145+H145)/E145</f>
        <v>264.32</v>
      </c>
      <c r="J145" s="42" t="n">
        <v>1583.85</v>
      </c>
    </row>
    <row r="146" customFormat="false" ht="14.15" hidden="false" customHeight="false" outlineLevel="0" collapsed="false">
      <c r="A146" s="3" t="n">
        <v>1</v>
      </c>
      <c r="B146" s="39" t="n">
        <v>294</v>
      </c>
      <c r="C146" s="40" t="s">
        <v>97</v>
      </c>
      <c r="D146" s="39" t="s">
        <v>55</v>
      </c>
      <c r="E146" s="39" t="n">
        <v>6</v>
      </c>
      <c r="F146" s="41" t="n">
        <v>263.33</v>
      </c>
      <c r="G146" s="35" t="n">
        <v>1.8</v>
      </c>
      <c r="H146" s="35" t="n">
        <v>0.27</v>
      </c>
      <c r="I146" s="38" t="n">
        <f aca="false">(J146+G146+H146)/E146</f>
        <v>264.02</v>
      </c>
      <c r="J146" s="42" t="n">
        <v>1582.05</v>
      </c>
    </row>
    <row r="147" customFormat="false" ht="14.15" hidden="false" customHeight="false" outlineLevel="0" collapsed="false">
      <c r="A147" s="3"/>
      <c r="B147" s="35" t="n">
        <v>295</v>
      </c>
      <c r="C147" s="36" t="s">
        <v>98</v>
      </c>
      <c r="D147" s="35" t="s">
        <v>55</v>
      </c>
      <c r="E147" s="35" t="n">
        <v>15</v>
      </c>
      <c r="F147" s="37" t="n">
        <v>443.75</v>
      </c>
      <c r="G147" s="35" t="n">
        <v>1.8</v>
      </c>
      <c r="H147" s="35" t="n">
        <v>0.27</v>
      </c>
      <c r="I147" s="38" t="n">
        <f aca="false">(J147+G147+H147)/E147</f>
        <v>444.032826</v>
      </c>
      <c r="J147" s="38" t="n">
        <v>6658.42239</v>
      </c>
    </row>
    <row r="148" customFormat="false" ht="14.15" hidden="false" customHeight="false" outlineLevel="0" collapsed="false">
      <c r="A148" s="3"/>
      <c r="B148" s="35" t="n">
        <v>296</v>
      </c>
      <c r="C148" s="36" t="s">
        <v>99</v>
      </c>
      <c r="D148" s="35" t="s">
        <v>55</v>
      </c>
      <c r="E148" s="35" t="n">
        <v>15</v>
      </c>
      <c r="F148" s="37" t="n">
        <v>431.18</v>
      </c>
      <c r="G148" s="35" t="n">
        <v>1.8</v>
      </c>
      <c r="H148" s="35" t="n">
        <v>0.27</v>
      </c>
      <c r="I148" s="38" t="n">
        <f aca="false">(J148+G148+H148)/E148</f>
        <v>431.456126</v>
      </c>
      <c r="J148" s="38" t="n">
        <v>6469.77189</v>
      </c>
    </row>
    <row r="149" customFormat="false" ht="14.15" hidden="false" customHeight="false" outlineLevel="0" collapsed="false">
      <c r="A149" s="3"/>
      <c r="B149" s="35" t="n">
        <v>297</v>
      </c>
      <c r="C149" s="36" t="s">
        <v>99</v>
      </c>
      <c r="D149" s="35" t="s">
        <v>55</v>
      </c>
      <c r="E149" s="35" t="n">
        <v>7</v>
      </c>
      <c r="F149" s="37" t="n">
        <v>428.755</v>
      </c>
      <c r="G149" s="35" t="n">
        <v>1.8</v>
      </c>
      <c r="H149" s="35" t="n">
        <v>0.27</v>
      </c>
      <c r="I149" s="38" t="n">
        <f aca="false">(J149+G149+H149)/E149</f>
        <v>429.346552857143</v>
      </c>
      <c r="J149" s="38" t="n">
        <v>3003.35587</v>
      </c>
    </row>
    <row r="150" customFormat="false" ht="14.15" hidden="false" customHeight="false" outlineLevel="0" collapsed="false">
      <c r="A150" s="3"/>
      <c r="B150" s="35" t="n">
        <v>298</v>
      </c>
      <c r="C150" s="36" t="s">
        <v>100</v>
      </c>
      <c r="D150" s="35" t="s">
        <v>55</v>
      </c>
      <c r="E150" s="35" t="n">
        <v>15</v>
      </c>
      <c r="F150" s="37" t="n">
        <v>423.89</v>
      </c>
      <c r="G150" s="35" t="n">
        <v>1.8</v>
      </c>
      <c r="H150" s="35" t="n">
        <v>0.27</v>
      </c>
      <c r="I150" s="38" t="n">
        <f aca="false">(J150+G150+H150)/E150</f>
        <v>424.166126</v>
      </c>
      <c r="J150" s="38" t="n">
        <v>6360.42189</v>
      </c>
    </row>
    <row r="151" customFormat="false" ht="14.15" hidden="false" customHeight="false" outlineLevel="0" collapsed="false">
      <c r="A151" s="3"/>
      <c r="B151" s="35" t="n">
        <v>255</v>
      </c>
      <c r="C151" s="36" t="s">
        <v>101</v>
      </c>
      <c r="D151" s="35" t="s">
        <v>55</v>
      </c>
      <c r="E151" s="35" t="n">
        <v>16</v>
      </c>
      <c r="F151" s="37" t="n">
        <v>256.04</v>
      </c>
      <c r="G151" s="35" t="n">
        <v>1.8</v>
      </c>
      <c r="H151" s="35" t="n">
        <v>0.27</v>
      </c>
      <c r="I151" s="38" t="n">
        <f aca="false">(J151+G151+H151)/E151</f>
        <v>256.29875</v>
      </c>
      <c r="J151" s="38" t="n">
        <v>4098.71</v>
      </c>
    </row>
    <row r="152" customFormat="false" ht="14.15" hidden="false" customHeight="false" outlineLevel="0" collapsed="false">
      <c r="A152" s="3"/>
      <c r="B152" s="35" t="n">
        <v>256</v>
      </c>
      <c r="C152" s="36" t="s">
        <v>101</v>
      </c>
      <c r="D152" s="35" t="s">
        <v>55</v>
      </c>
      <c r="E152" s="35" t="n">
        <v>15</v>
      </c>
      <c r="F152" s="37" t="n">
        <v>252.26</v>
      </c>
      <c r="G152" s="35" t="n">
        <v>1.8</v>
      </c>
      <c r="H152" s="35" t="n">
        <v>0.27</v>
      </c>
      <c r="I152" s="38" t="n">
        <f aca="false">(J152+G152+H152)/E152</f>
        <v>252.536</v>
      </c>
      <c r="J152" s="38" t="n">
        <v>3785.97</v>
      </c>
    </row>
    <row r="153" customFormat="false" ht="14.15" hidden="false" customHeight="false" outlineLevel="0" collapsed="false">
      <c r="A153" s="3"/>
      <c r="B153" s="35" t="n">
        <v>257</v>
      </c>
      <c r="C153" s="36" t="s">
        <v>102</v>
      </c>
      <c r="D153" s="35" t="s">
        <v>55</v>
      </c>
      <c r="E153" s="35" t="n">
        <v>20</v>
      </c>
      <c r="F153" s="37" t="n">
        <v>441.65</v>
      </c>
      <c r="G153" s="37" t="n">
        <v>1.80218</v>
      </c>
      <c r="H153" s="37" t="n">
        <v>0.27033</v>
      </c>
      <c r="I153" s="38" t="n">
        <f aca="false">(J153+G153+H153)/E153</f>
        <v>441.857251</v>
      </c>
      <c r="J153" s="37" t="n">
        <v>8835.07251</v>
      </c>
    </row>
    <row r="154" customFormat="false" ht="14.15" hidden="false" customHeight="false" outlineLevel="0" collapsed="false">
      <c r="A154" s="3"/>
      <c r="B154" s="35" t="n">
        <v>258</v>
      </c>
      <c r="C154" s="36" t="s">
        <v>102</v>
      </c>
      <c r="D154" s="35" t="s">
        <v>55</v>
      </c>
      <c r="E154" s="35" t="n">
        <v>18</v>
      </c>
      <c r="F154" s="37" t="n">
        <v>442.54</v>
      </c>
      <c r="G154" s="37" t="n">
        <v>1.80196</v>
      </c>
      <c r="H154" s="37" t="n">
        <v>0.27029</v>
      </c>
      <c r="I154" s="37" t="n">
        <f aca="false">(J154+G154+H154)/E154</f>
        <v>442.77025</v>
      </c>
      <c r="J154" s="37" t="n">
        <v>7967.79225</v>
      </c>
    </row>
    <row r="155" customFormat="false" ht="14.15" hidden="false" customHeight="false" outlineLevel="0" collapsed="false">
      <c r="A155" s="3"/>
      <c r="B155" s="35" t="n">
        <v>259</v>
      </c>
      <c r="C155" s="36" t="s">
        <v>103</v>
      </c>
      <c r="D155" s="35" t="s">
        <v>55</v>
      </c>
      <c r="E155" s="35" t="n">
        <v>18</v>
      </c>
      <c r="F155" s="37" t="n">
        <v>453.33</v>
      </c>
      <c r="G155" s="37" t="n">
        <v>1.80196</v>
      </c>
      <c r="H155" s="37" t="n">
        <v>0.27029</v>
      </c>
      <c r="I155" s="37" t="n">
        <f aca="false">(J155+G155+H155)/E155</f>
        <v>453.56025</v>
      </c>
      <c r="J155" s="37" t="n">
        <v>8162.01225</v>
      </c>
    </row>
    <row r="156" customFormat="false" ht="12.8" hidden="false" customHeight="false" outlineLevel="0" collapsed="false">
      <c r="A156" s="3" t="s">
        <v>104</v>
      </c>
      <c r="B156" s="56"/>
      <c r="C156" s="56"/>
      <c r="D156" s="56"/>
      <c r="E156" s="57" t="n">
        <f aca="false">SUM(E45:E155)</f>
        <v>1611</v>
      </c>
      <c r="F156" s="56"/>
      <c r="G156" s="56"/>
      <c r="H156" s="56"/>
      <c r="I156" s="56"/>
      <c r="J156" s="56"/>
    </row>
    <row r="159" customFormat="false" ht="15" hidden="false" customHeight="false" outlineLevel="0" collapsed="false">
      <c r="B159" s="58" t="s">
        <v>105</v>
      </c>
      <c r="C159" s="58"/>
      <c r="D159" s="58"/>
      <c r="E159" s="58"/>
      <c r="F159" s="58"/>
      <c r="G159" s="58"/>
      <c r="H159" s="58"/>
      <c r="I159" s="58"/>
      <c r="J159" s="58"/>
      <c r="K159" s="58"/>
    </row>
    <row r="160" customFormat="false" ht="13.8" hidden="false" customHeight="false" outlineLevel="0" collapsed="false">
      <c r="A160" s="3" t="s">
        <v>106</v>
      </c>
      <c r="B160" s="32"/>
      <c r="C160" s="33" t="s">
        <v>2</v>
      </c>
      <c r="D160" s="32" t="s">
        <v>47</v>
      </c>
      <c r="E160" s="32" t="s">
        <v>48</v>
      </c>
      <c r="F160" s="32" t="s">
        <v>49</v>
      </c>
      <c r="G160" s="32" t="s">
        <v>50</v>
      </c>
      <c r="H160" s="32" t="s">
        <v>51</v>
      </c>
      <c r="I160" s="32" t="s">
        <v>107</v>
      </c>
      <c r="J160" s="32" t="s">
        <v>53</v>
      </c>
      <c r="K160" s="32"/>
    </row>
    <row r="161" customFormat="false" ht="14.15" hidden="false" customHeight="false" outlineLevel="0" collapsed="false">
      <c r="A161" s="3"/>
      <c r="B161" s="59" t="n">
        <v>25</v>
      </c>
      <c r="C161" s="60" t="s">
        <v>108</v>
      </c>
      <c r="D161" s="59" t="s">
        <v>55</v>
      </c>
      <c r="E161" s="59" t="n">
        <v>41</v>
      </c>
      <c r="F161" s="61" t="n">
        <v>291.5</v>
      </c>
      <c r="G161" s="61" t="n">
        <v>1.9</v>
      </c>
      <c r="H161" s="61" t="n">
        <v>0.29</v>
      </c>
      <c r="I161" s="61" t="n">
        <f aca="false">(E161*F161)</f>
        <v>11951.5</v>
      </c>
      <c r="J161" s="62" t="n">
        <f aca="false">(E161*F161)-(G161+H161)</f>
        <v>11949.31</v>
      </c>
      <c r="K161" s="61" t="n">
        <v>500</v>
      </c>
    </row>
    <row r="162" customFormat="false" ht="14.15" hidden="false" customHeight="false" outlineLevel="0" collapsed="false">
      <c r="A162" s="3"/>
      <c r="B162" s="59" t="n">
        <v>27</v>
      </c>
      <c r="C162" s="60" t="s">
        <v>56</v>
      </c>
      <c r="D162" s="59" t="s">
        <v>55</v>
      </c>
      <c r="E162" s="59" t="n">
        <v>15</v>
      </c>
      <c r="F162" s="61" t="n">
        <v>239.76</v>
      </c>
      <c r="G162" s="61" t="n">
        <v>1.84</v>
      </c>
      <c r="H162" s="61" t="n">
        <v>0.28</v>
      </c>
      <c r="I162" s="61" t="n">
        <f aca="false">(E162*F162)</f>
        <v>3596.4</v>
      </c>
      <c r="J162" s="62" t="n">
        <f aca="false">(E162*F162)-(G162+H162)</f>
        <v>3594.28</v>
      </c>
      <c r="K162" s="63" t="n">
        <v>-100</v>
      </c>
    </row>
    <row r="163" customFormat="false" ht="14.15" hidden="false" customHeight="false" outlineLevel="0" collapsed="false">
      <c r="A163" s="3"/>
      <c r="B163" s="59" t="n">
        <v>29</v>
      </c>
      <c r="C163" s="60" t="s">
        <v>57</v>
      </c>
      <c r="D163" s="59" t="s">
        <v>55</v>
      </c>
      <c r="E163" s="59" t="n">
        <v>35</v>
      </c>
      <c r="F163" s="61" t="n">
        <v>237.95</v>
      </c>
      <c r="G163" s="61" t="n">
        <v>1.87</v>
      </c>
      <c r="H163" s="61" t="n">
        <v>0.28</v>
      </c>
      <c r="I163" s="61" t="n">
        <f aca="false">(E163*F163)</f>
        <v>8328.25</v>
      </c>
      <c r="J163" s="62" t="n">
        <f aca="false">(E163*F163)-(G163+H163)</f>
        <v>8326.1</v>
      </c>
      <c r="K163" s="61" t="n">
        <v>150</v>
      </c>
    </row>
    <row r="164" customFormat="false" ht="14.15" hidden="false" customHeight="false" outlineLevel="0" collapsed="false">
      <c r="A164" s="3"/>
      <c r="B164" s="59" t="n">
        <v>30</v>
      </c>
      <c r="C164" s="60" t="s">
        <v>109</v>
      </c>
      <c r="D164" s="59" t="s">
        <v>55</v>
      </c>
      <c r="E164" s="59" t="n">
        <v>35</v>
      </c>
      <c r="F164" s="61" t="n">
        <v>228.45</v>
      </c>
      <c r="G164" s="61" t="n">
        <v>1.87397</v>
      </c>
      <c r="H164" s="61" t="n">
        <v>0.2811</v>
      </c>
      <c r="I164" s="61" t="n">
        <f aca="false">(E164*F164)</f>
        <v>7995.75</v>
      </c>
      <c r="J164" s="62" t="n">
        <f aca="false">(E164*F164)-(G164+H164)</f>
        <v>7993.59493</v>
      </c>
      <c r="K164" s="63" t="n">
        <v>-80</v>
      </c>
    </row>
    <row r="165" customFormat="false" ht="14.15" hidden="false" customHeight="false" outlineLevel="0" collapsed="false">
      <c r="A165" s="3"/>
      <c r="B165" s="59" t="n">
        <v>31</v>
      </c>
      <c r="C165" s="60" t="s">
        <v>59</v>
      </c>
      <c r="D165" s="59" t="s">
        <v>55</v>
      </c>
      <c r="E165" s="59" t="n">
        <v>85</v>
      </c>
      <c r="F165" s="61" t="n">
        <v>235.5904</v>
      </c>
      <c r="G165" s="61" t="n">
        <v>1.97253</v>
      </c>
      <c r="H165" s="61" t="n">
        <v>0.29588</v>
      </c>
      <c r="I165" s="61" t="n">
        <f aca="false">(E165*F165)</f>
        <v>20025.184</v>
      </c>
      <c r="J165" s="62" t="n">
        <f aca="false">(E165*F165)-(G165+H165)</f>
        <v>20022.91559</v>
      </c>
      <c r="K165" s="64" t="n">
        <v>60</v>
      </c>
    </row>
    <row r="166" customFormat="false" ht="14.15" hidden="false" customHeight="false" outlineLevel="0" collapsed="false">
      <c r="A166" s="3"/>
      <c r="B166" s="59" t="n">
        <v>50</v>
      </c>
      <c r="C166" s="60" t="s">
        <v>110</v>
      </c>
      <c r="D166" s="59" t="s">
        <v>55</v>
      </c>
      <c r="E166" s="59" t="n">
        <v>40</v>
      </c>
      <c r="F166" s="61" t="n">
        <v>257.4</v>
      </c>
      <c r="G166" s="61" t="n">
        <v>1.89237</v>
      </c>
      <c r="H166" s="61" t="n">
        <v>0.28386</v>
      </c>
      <c r="I166" s="61" t="n">
        <f aca="false">(E166*F166)</f>
        <v>10296</v>
      </c>
      <c r="J166" s="62" t="n">
        <v>10293.82377</v>
      </c>
      <c r="K166" s="64" t="n">
        <v>350</v>
      </c>
    </row>
    <row r="167" customFormat="false" ht="14.15" hidden="false" customHeight="false" outlineLevel="0" collapsed="false">
      <c r="A167" s="3"/>
      <c r="B167" s="59" t="n">
        <v>51</v>
      </c>
      <c r="C167" s="60" t="s">
        <v>110</v>
      </c>
      <c r="D167" s="59" t="s">
        <v>55</v>
      </c>
      <c r="E167" s="59" t="n">
        <v>30</v>
      </c>
      <c r="F167" s="61" t="n">
        <v>251.9</v>
      </c>
      <c r="G167" s="61" t="n">
        <v>1.87046</v>
      </c>
      <c r="H167" s="61" t="n">
        <v>0.28057</v>
      </c>
      <c r="I167" s="61" t="n">
        <f aca="false">(E167*F167)</f>
        <v>7557</v>
      </c>
      <c r="J167" s="62" t="n">
        <v>7554.86397</v>
      </c>
      <c r="K167" s="64" t="n">
        <v>420</v>
      </c>
    </row>
    <row r="168" customFormat="false" ht="14.15" hidden="false" customHeight="false" outlineLevel="0" collapsed="false">
      <c r="A168" s="3"/>
      <c r="B168" s="59" t="n">
        <v>52</v>
      </c>
      <c r="C168" s="60" t="s">
        <v>110</v>
      </c>
      <c r="D168" s="59" t="s">
        <v>55</v>
      </c>
      <c r="E168" s="59" t="n">
        <v>15</v>
      </c>
      <c r="F168" s="61" t="n">
        <v>248.7</v>
      </c>
      <c r="G168" s="61" t="n">
        <v>1.83984</v>
      </c>
      <c r="H168" s="61" t="n">
        <v>0.27598</v>
      </c>
      <c r="I168" s="61" t="n">
        <f aca="false">(E168*F168)</f>
        <v>3730.5</v>
      </c>
      <c r="J168" s="62" t="n">
        <v>3728.38418</v>
      </c>
      <c r="K168" s="64" t="n">
        <v>100</v>
      </c>
    </row>
    <row r="169" customFormat="false" ht="14.15" hidden="false" customHeight="false" outlineLevel="0" collapsed="false">
      <c r="A169" s="3"/>
      <c r="B169" s="59" t="n">
        <v>53</v>
      </c>
      <c r="C169" s="60" t="s">
        <v>111</v>
      </c>
      <c r="D169" s="59" t="s">
        <v>55</v>
      </c>
      <c r="E169" s="59" t="n">
        <v>15</v>
      </c>
      <c r="F169" s="61" t="n">
        <v>244.9</v>
      </c>
      <c r="G169" s="61" t="n">
        <v>1.83939</v>
      </c>
      <c r="H169" s="61" t="n">
        <v>0.27591</v>
      </c>
      <c r="I169" s="61" t="n">
        <f aca="false">(E169*F169)</f>
        <v>3673.5</v>
      </c>
      <c r="J169" s="62" t="n">
        <v>3671.3847</v>
      </c>
      <c r="K169" s="63" t="n">
        <v>-200</v>
      </c>
    </row>
    <row r="170" customFormat="false" ht="14.15" hidden="false" customHeight="false" outlineLevel="0" collapsed="false">
      <c r="A170" s="3"/>
      <c r="B170" s="59" t="n">
        <v>54</v>
      </c>
      <c r="C170" s="60" t="s">
        <v>112</v>
      </c>
      <c r="D170" s="59" t="s">
        <v>55</v>
      </c>
      <c r="E170" s="59" t="n">
        <v>15</v>
      </c>
      <c r="F170" s="61" t="n">
        <v>256.3</v>
      </c>
      <c r="G170" s="61" t="n">
        <v>1.84076</v>
      </c>
      <c r="H170" s="61" t="n">
        <v>0.27611</v>
      </c>
      <c r="I170" s="61" t="n">
        <f aca="false">(E170*F170)</f>
        <v>3844.5</v>
      </c>
      <c r="J170" s="62" t="n">
        <v>3842.38313</v>
      </c>
      <c r="K170" s="64" t="n">
        <v>50</v>
      </c>
    </row>
    <row r="171" customFormat="false" ht="14.15" hidden="false" customHeight="false" outlineLevel="0" collapsed="false">
      <c r="A171" s="3"/>
      <c r="B171" s="59" t="n">
        <v>55</v>
      </c>
      <c r="C171" s="60" t="s">
        <v>17</v>
      </c>
      <c r="D171" s="59" t="s">
        <v>55</v>
      </c>
      <c r="E171" s="59" t="n">
        <v>15</v>
      </c>
      <c r="F171" s="61" t="n">
        <v>265.18</v>
      </c>
      <c r="G171" s="61" t="n">
        <v>1.84182</v>
      </c>
      <c r="H171" s="61" t="n">
        <v>0.27627</v>
      </c>
      <c r="I171" s="61" t="n">
        <f aca="false">(E171*F171)</f>
        <v>3977.7</v>
      </c>
      <c r="J171" s="62" t="n">
        <v>3975.58191</v>
      </c>
      <c r="K171" s="64" t="n">
        <v>40</v>
      </c>
    </row>
    <row r="172" customFormat="false" ht="14.15" hidden="false" customHeight="false" outlineLevel="0" collapsed="false">
      <c r="A172" s="3"/>
      <c r="B172" s="59" t="n">
        <v>56</v>
      </c>
      <c r="C172" s="60" t="s">
        <v>60</v>
      </c>
      <c r="D172" s="59" t="s">
        <v>55</v>
      </c>
      <c r="E172" s="59" t="n">
        <v>15</v>
      </c>
      <c r="F172" s="61" t="n">
        <v>268</v>
      </c>
      <c r="G172" s="61" t="n">
        <v>1.84216</v>
      </c>
      <c r="H172" s="61" t="n">
        <v>0.27632</v>
      </c>
      <c r="I172" s="61" t="n">
        <f aca="false">(E172*F172)</f>
        <v>4020</v>
      </c>
      <c r="J172" s="62" t="n">
        <v>4017.88152</v>
      </c>
      <c r="K172" s="64" t="n">
        <v>30</v>
      </c>
    </row>
    <row r="173" customFormat="false" ht="14.15" hidden="false" customHeight="false" outlineLevel="0" collapsed="false">
      <c r="A173" s="3"/>
      <c r="B173" s="59" t="n">
        <v>57</v>
      </c>
      <c r="C173" s="60" t="s">
        <v>60</v>
      </c>
      <c r="D173" s="59" t="s">
        <v>55</v>
      </c>
      <c r="E173" s="59" t="n">
        <v>15</v>
      </c>
      <c r="F173" s="61" t="n">
        <v>273.201</v>
      </c>
      <c r="G173" s="61" t="n">
        <v>1.84278</v>
      </c>
      <c r="H173" s="61" t="n">
        <v>0.27642</v>
      </c>
      <c r="I173" s="61" t="n">
        <f aca="false">(E173*F173)</f>
        <v>4098.015</v>
      </c>
      <c r="J173" s="62" t="n">
        <v>4095.8958</v>
      </c>
      <c r="K173" s="64" t="n">
        <v>80</v>
      </c>
    </row>
    <row r="174" customFormat="false" ht="14.15" hidden="false" customHeight="false" outlineLevel="0" collapsed="false">
      <c r="A174" s="3"/>
      <c r="B174" s="59" t="n">
        <v>58</v>
      </c>
      <c r="C174" s="60" t="s">
        <v>60</v>
      </c>
      <c r="D174" s="59" t="s">
        <v>55</v>
      </c>
      <c r="E174" s="59" t="n">
        <v>15</v>
      </c>
      <c r="F174" s="61" t="n">
        <v>272.62</v>
      </c>
      <c r="G174" s="61" t="n">
        <v>1.84271</v>
      </c>
      <c r="H174" s="61" t="n">
        <v>0.27641</v>
      </c>
      <c r="I174" s="61" t="n">
        <f aca="false">(E174*F174)</f>
        <v>4089.3</v>
      </c>
      <c r="J174" s="62" t="n">
        <v>4087.18088</v>
      </c>
      <c r="K174" s="64" t="n">
        <v>70</v>
      </c>
    </row>
    <row r="175" customFormat="false" ht="14.15" hidden="false" customHeight="false" outlineLevel="0" collapsed="false">
      <c r="A175" s="3"/>
      <c r="B175" s="59" t="n">
        <v>59</v>
      </c>
      <c r="C175" s="60" t="s">
        <v>60</v>
      </c>
      <c r="D175" s="59" t="s">
        <v>55</v>
      </c>
      <c r="E175" s="59" t="n">
        <v>15</v>
      </c>
      <c r="F175" s="61" t="n">
        <v>271.701</v>
      </c>
      <c r="G175" s="61" t="n">
        <v>1.8426</v>
      </c>
      <c r="H175" s="61" t="n">
        <v>0.27639</v>
      </c>
      <c r="I175" s="61" t="n">
        <f aca="false">(E175*F175)</f>
        <v>4075.515</v>
      </c>
      <c r="J175" s="62" t="n">
        <v>4073.39601</v>
      </c>
      <c r="K175" s="64" t="n">
        <v>50</v>
      </c>
    </row>
    <row r="176" customFormat="false" ht="14.15" hidden="false" customHeight="false" outlineLevel="0" collapsed="false">
      <c r="A176" s="3"/>
      <c r="B176" s="59" t="n">
        <v>60</v>
      </c>
      <c r="C176" s="60" t="s">
        <v>60</v>
      </c>
      <c r="D176" s="59" t="s">
        <v>55</v>
      </c>
      <c r="E176" s="59" t="n">
        <v>15</v>
      </c>
      <c r="F176" s="61" t="n">
        <v>272.4</v>
      </c>
      <c r="G176" s="61" t="n">
        <v>1.84269</v>
      </c>
      <c r="H176" s="61" t="n">
        <v>0.2764</v>
      </c>
      <c r="I176" s="61" t="n">
        <f aca="false">(E176*F176)</f>
        <v>4086</v>
      </c>
      <c r="J176" s="62" t="n">
        <v>4083.88091</v>
      </c>
      <c r="K176" s="64" t="n">
        <v>60</v>
      </c>
    </row>
    <row r="177" customFormat="false" ht="14.15" hidden="false" customHeight="false" outlineLevel="0" collapsed="false">
      <c r="A177" s="3"/>
      <c r="B177" s="59" t="n">
        <v>61</v>
      </c>
      <c r="C177" s="60" t="s">
        <v>61</v>
      </c>
      <c r="D177" s="59" t="s">
        <v>55</v>
      </c>
      <c r="E177" s="59" t="n">
        <v>15</v>
      </c>
      <c r="F177" s="61" t="n">
        <v>273.25</v>
      </c>
      <c r="G177" s="61" t="n">
        <v>1.84279</v>
      </c>
      <c r="H177" s="61" t="n">
        <v>0.27642</v>
      </c>
      <c r="I177" s="61" t="n">
        <f aca="false">(E177*F177)</f>
        <v>4098.75</v>
      </c>
      <c r="J177" s="62" t="n">
        <v>4096.63079</v>
      </c>
      <c r="K177" s="64" t="n">
        <v>40</v>
      </c>
    </row>
    <row r="178" customFormat="false" ht="14.15" hidden="false" customHeight="false" outlineLevel="0" collapsed="false">
      <c r="A178" s="3"/>
      <c r="B178" s="59" t="n">
        <v>62</v>
      </c>
      <c r="C178" s="60" t="s">
        <v>61</v>
      </c>
      <c r="D178" s="59" t="s">
        <v>55</v>
      </c>
      <c r="E178" s="59" t="n">
        <v>15</v>
      </c>
      <c r="F178" s="61" t="n">
        <v>272.76</v>
      </c>
      <c r="G178" s="61" t="n">
        <v>1.84273</v>
      </c>
      <c r="H178" s="61" t="n">
        <v>0.27641</v>
      </c>
      <c r="I178" s="61" t="n">
        <f aca="false">(E178*F178)</f>
        <v>4091.4</v>
      </c>
      <c r="J178" s="62" t="n">
        <v>4089.28086</v>
      </c>
      <c r="K178" s="64" t="n">
        <v>500</v>
      </c>
    </row>
    <row r="179" customFormat="false" ht="14.15" hidden="false" customHeight="false" outlineLevel="0" collapsed="false">
      <c r="A179" s="3"/>
      <c r="B179" s="59" t="n">
        <v>63</v>
      </c>
      <c r="C179" s="60" t="s">
        <v>62</v>
      </c>
      <c r="D179" s="59" t="s">
        <v>55</v>
      </c>
      <c r="E179" s="59" t="n">
        <v>15</v>
      </c>
      <c r="F179" s="61" t="n">
        <v>275.2413</v>
      </c>
      <c r="G179" s="61" t="n">
        <v>1.84303</v>
      </c>
      <c r="H179" s="61" t="n">
        <v>0.27645</v>
      </c>
      <c r="I179" s="61" t="n">
        <f aca="false">(E179*F179)</f>
        <v>4128.6195</v>
      </c>
      <c r="J179" s="62" t="n">
        <v>4126.5002</v>
      </c>
      <c r="K179" s="64" t="n">
        <v>600</v>
      </c>
    </row>
    <row r="180" customFormat="false" ht="14.15" hidden="false" customHeight="false" outlineLevel="0" collapsed="false">
      <c r="A180" s="3"/>
      <c r="B180" s="59" t="n">
        <v>64</v>
      </c>
      <c r="C180" s="60" t="s">
        <v>62</v>
      </c>
      <c r="D180" s="59" t="s">
        <v>55</v>
      </c>
      <c r="E180" s="59" t="n">
        <v>15</v>
      </c>
      <c r="F180" s="61" t="n">
        <v>274.2305</v>
      </c>
      <c r="G180" s="61" t="n">
        <v>1.84291</v>
      </c>
      <c r="H180" s="61" t="n">
        <v>0.27644</v>
      </c>
      <c r="I180" s="61" t="n">
        <f aca="false">(E180*F180)</f>
        <v>4113.4575</v>
      </c>
      <c r="J180" s="62" t="n">
        <v>4111.33815</v>
      </c>
      <c r="K180" s="64" t="n">
        <v>700</v>
      </c>
    </row>
    <row r="181" customFormat="false" ht="14.15" hidden="false" customHeight="false" outlineLevel="0" collapsed="false">
      <c r="A181" s="3"/>
      <c r="B181" s="59" t="n">
        <v>65</v>
      </c>
      <c r="C181" s="60" t="s">
        <v>113</v>
      </c>
      <c r="D181" s="59" t="s">
        <v>55</v>
      </c>
      <c r="E181" s="59" t="n">
        <v>40</v>
      </c>
      <c r="F181" s="61" t="n">
        <v>254.7</v>
      </c>
      <c r="G181" s="61" t="n">
        <v>1.8915</v>
      </c>
      <c r="H181" s="61" t="n">
        <v>0.28373</v>
      </c>
      <c r="I181" s="61" t="n">
        <f aca="false">(E181*F181)</f>
        <v>10188</v>
      </c>
      <c r="J181" s="62" t="n">
        <v>10185.82477</v>
      </c>
      <c r="K181" s="64" t="n">
        <v>20</v>
      </c>
    </row>
    <row r="182" customFormat="false" ht="14.15" hidden="false" customHeight="false" outlineLevel="0" collapsed="false">
      <c r="A182" s="3"/>
      <c r="B182" s="59" t="n">
        <v>66</v>
      </c>
      <c r="C182" s="60" t="s">
        <v>64</v>
      </c>
      <c r="D182" s="59" t="s">
        <v>55</v>
      </c>
      <c r="E182" s="59" t="n">
        <v>39</v>
      </c>
      <c r="F182" s="61" t="n">
        <v>261.8</v>
      </c>
      <c r="G182" s="61" t="n">
        <v>1.89168</v>
      </c>
      <c r="H182" s="61" t="n">
        <v>0.28375</v>
      </c>
      <c r="I182" s="61" t="n">
        <f aca="false">(E182*F182)</f>
        <v>10210.2</v>
      </c>
      <c r="J182" s="62" t="n">
        <v>10208.02457</v>
      </c>
      <c r="K182" s="64" t="n">
        <v>200</v>
      </c>
    </row>
    <row r="183" customFormat="false" ht="14.15" hidden="false" customHeight="false" outlineLevel="0" collapsed="false">
      <c r="A183" s="3"/>
      <c r="B183" s="59" t="n">
        <v>76</v>
      </c>
      <c r="C183" s="60" t="s">
        <v>67</v>
      </c>
      <c r="D183" s="59" t="s">
        <v>55</v>
      </c>
      <c r="E183" s="59" t="n">
        <v>25</v>
      </c>
      <c r="F183" s="61" t="n">
        <v>255.91</v>
      </c>
      <c r="G183" s="61" t="n">
        <v>1.86118</v>
      </c>
      <c r="H183" s="61" t="n">
        <v>0.27918</v>
      </c>
      <c r="I183" s="61" t="n">
        <f aca="false">(E183*F183)</f>
        <v>6397.75</v>
      </c>
      <c r="J183" s="62" t="n">
        <v>6395.60964</v>
      </c>
      <c r="K183" s="63" t="n">
        <v>-500</v>
      </c>
    </row>
    <row r="184" customFormat="false" ht="14.15" hidden="false" customHeight="false" outlineLevel="0" collapsed="false">
      <c r="A184" s="3"/>
      <c r="B184" s="59" t="n">
        <v>77</v>
      </c>
      <c r="C184" s="60" t="s">
        <v>68</v>
      </c>
      <c r="D184" s="59" t="s">
        <v>55</v>
      </c>
      <c r="E184" s="59" t="n">
        <v>14</v>
      </c>
      <c r="F184" s="61" t="n">
        <v>266.62</v>
      </c>
      <c r="G184" s="61" t="n">
        <v>1.83986</v>
      </c>
      <c r="H184" s="61" t="n">
        <v>0.27598</v>
      </c>
      <c r="I184" s="61" t="n">
        <f aca="false">(E184*F184)</f>
        <v>3732.68</v>
      </c>
      <c r="J184" s="62" t="n">
        <v>3730.56416</v>
      </c>
      <c r="K184" s="64" t="n">
        <v>400</v>
      </c>
    </row>
    <row r="185" customFormat="false" ht="14.15" hidden="false" customHeight="false" outlineLevel="0" collapsed="false">
      <c r="A185" s="3"/>
      <c r="B185" s="59" t="n">
        <v>78</v>
      </c>
      <c r="C185" s="60" t="s">
        <v>69</v>
      </c>
      <c r="D185" s="59" t="s">
        <v>55</v>
      </c>
      <c r="E185" s="59" t="n">
        <v>14</v>
      </c>
      <c r="F185" s="61" t="n">
        <v>268.16</v>
      </c>
      <c r="G185" s="61" t="n">
        <v>1.84003</v>
      </c>
      <c r="H185" s="61" t="n">
        <v>0.276</v>
      </c>
      <c r="I185" s="61" t="n">
        <f aca="false">(E185*F185)</f>
        <v>3754.24</v>
      </c>
      <c r="J185" s="62" t="n">
        <v>3752.12397</v>
      </c>
      <c r="K185" s="64" t="n">
        <v>50</v>
      </c>
    </row>
    <row r="186" customFormat="false" ht="14.15" hidden="false" customHeight="false" outlineLevel="0" collapsed="false">
      <c r="A186" s="3"/>
      <c r="B186" s="59" t="n">
        <v>79</v>
      </c>
      <c r="C186" s="60" t="s">
        <v>69</v>
      </c>
      <c r="D186" s="59" t="s">
        <v>55</v>
      </c>
      <c r="E186" s="59" t="n">
        <v>14</v>
      </c>
      <c r="F186" s="61" t="n">
        <v>263.7</v>
      </c>
      <c r="G186" s="61" t="n">
        <v>1.83953</v>
      </c>
      <c r="H186" s="61" t="n">
        <v>0.27593</v>
      </c>
      <c r="I186" s="61" t="n">
        <f aca="false">(E186*F186)</f>
        <v>3691.8</v>
      </c>
      <c r="J186" s="62" t="n">
        <v>3689.68454</v>
      </c>
      <c r="K186" s="63" t="n">
        <v>-50</v>
      </c>
    </row>
    <row r="187" customFormat="false" ht="14.15" hidden="false" customHeight="false" outlineLevel="0" collapsed="false">
      <c r="A187" s="3"/>
      <c r="B187" s="59" t="n">
        <v>80</v>
      </c>
      <c r="C187" s="60" t="s">
        <v>70</v>
      </c>
      <c r="D187" s="59" t="s">
        <v>55</v>
      </c>
      <c r="E187" s="59" t="n">
        <v>15</v>
      </c>
      <c r="F187" s="61" t="n">
        <v>263.2</v>
      </c>
      <c r="G187" s="61" t="n">
        <v>1.84158</v>
      </c>
      <c r="H187" s="61" t="n">
        <v>0.27624</v>
      </c>
      <c r="I187" s="61" t="n">
        <f aca="false">(E187*F187)</f>
        <v>3948</v>
      </c>
      <c r="J187" s="62" t="n">
        <v>3945.88218</v>
      </c>
      <c r="K187" s="64" t="n">
        <v>30</v>
      </c>
    </row>
    <row r="188" customFormat="false" ht="14.15" hidden="false" customHeight="false" outlineLevel="0" collapsed="false">
      <c r="A188" s="3"/>
      <c r="B188" s="59" t="n">
        <v>81</v>
      </c>
      <c r="C188" s="60" t="s">
        <v>70</v>
      </c>
      <c r="D188" s="59" t="s">
        <v>55</v>
      </c>
      <c r="E188" s="59" t="n">
        <v>29</v>
      </c>
      <c r="F188" s="61" t="n">
        <v>264.5</v>
      </c>
      <c r="G188" s="61" t="n">
        <v>1.87136</v>
      </c>
      <c r="H188" s="61" t="n">
        <v>0.2807</v>
      </c>
      <c r="I188" s="61" t="n">
        <f aca="false">(E188*F188)</f>
        <v>7670.5</v>
      </c>
      <c r="J188" s="62" t="n">
        <v>7668.34794</v>
      </c>
      <c r="K188" s="63" t="n">
        <v>-200</v>
      </c>
    </row>
    <row r="189" customFormat="false" ht="14.15" hidden="false" customHeight="false" outlineLevel="0" collapsed="false">
      <c r="A189" s="3"/>
      <c r="B189" s="59" t="n">
        <v>229</v>
      </c>
      <c r="C189" s="60" t="s">
        <v>76</v>
      </c>
      <c r="D189" s="59" t="s">
        <v>55</v>
      </c>
      <c r="E189" s="59" t="n">
        <v>14</v>
      </c>
      <c r="F189" s="61" t="n">
        <v>187.1311</v>
      </c>
      <c r="G189" s="61" t="n">
        <v>1.83096</v>
      </c>
      <c r="H189" s="61" t="n">
        <v>0.27464</v>
      </c>
      <c r="I189" s="61" t="n">
        <f aca="false">(E189*F189)</f>
        <v>2619.8354</v>
      </c>
      <c r="J189" s="62" t="n">
        <v>2617.7298</v>
      </c>
      <c r="K189" s="64" t="n">
        <f aca="false">J189-J21</f>
        <v>2617.7298</v>
      </c>
    </row>
    <row r="190" customFormat="false" ht="14.15" hidden="false" customHeight="false" outlineLevel="0" collapsed="false">
      <c r="A190" s="3"/>
      <c r="B190" s="59" t="n">
        <v>230</v>
      </c>
      <c r="C190" s="60" t="s">
        <v>114</v>
      </c>
      <c r="D190" s="59" t="s">
        <v>55</v>
      </c>
      <c r="E190" s="59" t="n">
        <v>15</v>
      </c>
      <c r="F190" s="61" t="n">
        <v>168.0918</v>
      </c>
      <c r="G190" s="61" t="n">
        <v>1.83017</v>
      </c>
      <c r="H190" s="61" t="n">
        <v>0.27453</v>
      </c>
      <c r="I190" s="61" t="n">
        <f aca="false">(E190*F190)</f>
        <v>2521.377</v>
      </c>
      <c r="J190" s="62" t="n">
        <v>2519.2723</v>
      </c>
      <c r="K190" s="64" t="n">
        <f aca="false">J190-J24</f>
        <v>2519.2723</v>
      </c>
    </row>
    <row r="191" customFormat="false" ht="14.15" hidden="false" customHeight="false" outlineLevel="0" collapsed="false">
      <c r="A191" s="3"/>
      <c r="B191" s="59" t="n">
        <v>231</v>
      </c>
      <c r="C191" s="60" t="s">
        <v>79</v>
      </c>
      <c r="D191" s="59" t="s">
        <v>55</v>
      </c>
      <c r="E191" s="59" t="n">
        <v>14</v>
      </c>
      <c r="F191" s="61" t="n">
        <v>171.1709</v>
      </c>
      <c r="G191" s="61" t="n">
        <v>1.82917</v>
      </c>
      <c r="H191" s="61" t="n">
        <v>0.27438</v>
      </c>
      <c r="I191" s="61" t="n">
        <f aca="false">(E191*F191)</f>
        <v>2396.3926</v>
      </c>
      <c r="J191" s="62" t="n">
        <v>2394.28905</v>
      </c>
      <c r="K191" s="64" t="n">
        <f aca="false">J191-J25</f>
        <v>2394.28905</v>
      </c>
    </row>
    <row r="192" customFormat="false" ht="14.15" hidden="false" customHeight="false" outlineLevel="0" collapsed="false">
      <c r="A192" s="3"/>
      <c r="B192" s="59" t="n">
        <v>232</v>
      </c>
      <c r="C192" s="60" t="s">
        <v>115</v>
      </c>
      <c r="D192" s="59" t="s">
        <v>55</v>
      </c>
      <c r="E192" s="59" t="n">
        <v>15</v>
      </c>
      <c r="F192" s="61" t="n">
        <v>195.57</v>
      </c>
      <c r="G192" s="61" t="n">
        <v>1.83347</v>
      </c>
      <c r="H192" s="61" t="n">
        <v>0.27502</v>
      </c>
      <c r="I192" s="61" t="n">
        <f aca="false">(E192*F192)</f>
        <v>2933.55</v>
      </c>
      <c r="J192" s="62" t="n">
        <v>2931.44151</v>
      </c>
      <c r="K192" s="64" t="n">
        <f aca="false">J192-J23</f>
        <v>2931.44151</v>
      </c>
    </row>
    <row r="193" customFormat="false" ht="14.15" hidden="false" customHeight="false" outlineLevel="0" collapsed="false">
      <c r="A193" s="3"/>
      <c r="B193" s="59" t="n">
        <v>233</v>
      </c>
      <c r="C193" s="60" t="s">
        <v>116</v>
      </c>
      <c r="D193" s="59" t="s">
        <v>55</v>
      </c>
      <c r="E193" s="59" t="n">
        <v>15</v>
      </c>
      <c r="F193" s="61" t="n">
        <v>230.53</v>
      </c>
      <c r="G193" s="61" t="n">
        <v>1.83766</v>
      </c>
      <c r="H193" s="61" t="n">
        <v>0.27565</v>
      </c>
      <c r="I193" s="61" t="n">
        <f aca="false">(E193*F193)</f>
        <v>3457.95</v>
      </c>
      <c r="J193" s="61" t="n">
        <v>3455.83669</v>
      </c>
      <c r="K193" s="64" t="n">
        <f aca="false">J193-J4</f>
        <v>3455.83669</v>
      </c>
    </row>
    <row r="194" customFormat="false" ht="14.15" hidden="false" customHeight="false" outlineLevel="0" collapsed="false">
      <c r="A194" s="3"/>
      <c r="B194" s="59" t="n">
        <v>234</v>
      </c>
      <c r="C194" s="60" t="s">
        <v>101</v>
      </c>
      <c r="D194" s="59" t="s">
        <v>55</v>
      </c>
      <c r="E194" s="59" t="n">
        <v>47</v>
      </c>
      <c r="F194" s="61" t="n">
        <v>258.33</v>
      </c>
      <c r="G194" s="61" t="n">
        <v>1.90713</v>
      </c>
      <c r="H194" s="61" t="n">
        <v>0.28607</v>
      </c>
      <c r="I194" s="61" t="n">
        <f aca="false">(E194*F194)</f>
        <v>12141.51</v>
      </c>
      <c r="J194" s="65" t="n">
        <v>12139.3168</v>
      </c>
      <c r="K194" s="64" t="n">
        <f aca="false">J194-(J14+J15+J16)</f>
        <v>12139.3168</v>
      </c>
    </row>
    <row r="195" customFormat="false" ht="14.15" hidden="false" customHeight="false" outlineLevel="0" collapsed="false">
      <c r="A195" s="3"/>
      <c r="B195" s="59" t="n">
        <v>235</v>
      </c>
      <c r="C195" s="60" t="s">
        <v>101</v>
      </c>
      <c r="D195" s="59" t="s">
        <v>55</v>
      </c>
      <c r="E195" s="59" t="n">
        <v>15</v>
      </c>
      <c r="F195" s="61" t="n">
        <v>252.54</v>
      </c>
      <c r="G195" s="61" t="n">
        <v>1.84031</v>
      </c>
      <c r="H195" s="61" t="n">
        <v>0.27605</v>
      </c>
      <c r="I195" s="61" t="n">
        <f aca="false">(E195*F195)</f>
        <v>3788.1</v>
      </c>
      <c r="J195" s="65" t="n">
        <v>3785.98364</v>
      </c>
      <c r="K195" s="64" t="n">
        <f aca="false">J195-J86</f>
        <v>55.9936400000001</v>
      </c>
    </row>
    <row r="196" customFormat="false" ht="14.15" hidden="false" customHeight="false" outlineLevel="0" collapsed="false">
      <c r="A196" s="3"/>
      <c r="B196" s="59" t="n">
        <v>236</v>
      </c>
      <c r="C196" s="60" t="s">
        <v>117</v>
      </c>
      <c r="D196" s="59" t="s">
        <v>55</v>
      </c>
      <c r="E196" s="59" t="n">
        <v>31</v>
      </c>
      <c r="F196" s="61" t="n">
        <v>253.4</v>
      </c>
      <c r="G196" s="61" t="n">
        <v>1.87284</v>
      </c>
      <c r="H196" s="61" t="n">
        <v>0.28093</v>
      </c>
      <c r="I196" s="61" t="n">
        <f aca="false">(E196*F196)</f>
        <v>7855.4</v>
      </c>
      <c r="J196" s="66" t="n">
        <v>7853.24623</v>
      </c>
      <c r="K196" s="64" t="n">
        <f aca="false">J196-(J85+J17)</f>
        <v>6558.07623</v>
      </c>
    </row>
    <row r="197" customFormat="false" ht="14.15" hidden="false" customHeight="false" outlineLevel="0" collapsed="false">
      <c r="A197" s="3"/>
      <c r="B197" s="59" t="n">
        <v>237</v>
      </c>
      <c r="C197" s="60" t="s">
        <v>83</v>
      </c>
      <c r="D197" s="59" t="s">
        <v>55</v>
      </c>
      <c r="E197" s="59" t="n">
        <v>15</v>
      </c>
      <c r="F197" s="61" t="n">
        <v>238.5</v>
      </c>
      <c r="G197" s="61" t="n">
        <v>1.83862</v>
      </c>
      <c r="H197" s="61" t="n">
        <v>0.27579</v>
      </c>
      <c r="I197" s="61" t="n">
        <f aca="false">(E197*F197)</f>
        <v>3577.5</v>
      </c>
      <c r="J197" s="66" t="n">
        <v>3575.38559</v>
      </c>
      <c r="K197" s="64" t="n">
        <f aca="false">J197-J7</f>
        <v>3575.38559</v>
      </c>
    </row>
    <row r="198" customFormat="false" ht="14.15" hidden="false" customHeight="false" outlineLevel="0" collapsed="false">
      <c r="A198" s="3"/>
      <c r="B198" s="59" t="n">
        <v>238</v>
      </c>
      <c r="C198" s="60" t="s">
        <v>83</v>
      </c>
      <c r="D198" s="59" t="s">
        <v>55</v>
      </c>
      <c r="E198" s="59" t="n">
        <v>15</v>
      </c>
      <c r="F198" s="61" t="n">
        <v>247.15</v>
      </c>
      <c r="G198" s="61" t="n">
        <v>1.83966</v>
      </c>
      <c r="H198" s="61" t="n">
        <v>0.27595</v>
      </c>
      <c r="I198" s="61" t="n">
        <f aca="false">(E198*F198)</f>
        <v>3707.25</v>
      </c>
      <c r="J198" s="66" t="n">
        <v>3705.13439</v>
      </c>
      <c r="K198" s="64" t="n">
        <f aca="false">J198-J36</f>
        <v>3705.13439</v>
      </c>
    </row>
    <row r="199" customFormat="false" ht="14.15" hidden="false" customHeight="false" outlineLevel="0" collapsed="false">
      <c r="A199" s="3"/>
      <c r="B199" s="59" t="n">
        <v>239</v>
      </c>
      <c r="C199" s="60" t="s">
        <v>83</v>
      </c>
      <c r="D199" s="59" t="s">
        <v>55</v>
      </c>
      <c r="E199" s="59" t="n">
        <v>15</v>
      </c>
      <c r="F199" s="61" t="n">
        <v>249.88</v>
      </c>
      <c r="G199" s="61" t="n">
        <v>1.83999</v>
      </c>
      <c r="H199" s="61" t="n">
        <v>0.276</v>
      </c>
      <c r="I199" s="61" t="n">
        <f aca="false">(E199*F199)</f>
        <v>3748.2</v>
      </c>
      <c r="J199" s="66" t="n">
        <v>3746.08401</v>
      </c>
      <c r="K199" s="64" t="n">
        <f aca="false">J199-J35</f>
        <v>3746.08401</v>
      </c>
    </row>
    <row r="200" customFormat="false" ht="14.15" hidden="false" customHeight="false" outlineLevel="0" collapsed="false">
      <c r="A200" s="3"/>
      <c r="B200" s="59" t="n">
        <v>240</v>
      </c>
      <c r="C200" s="60" t="s">
        <v>84</v>
      </c>
      <c r="D200" s="59" t="s">
        <v>55</v>
      </c>
      <c r="E200" s="59" t="n">
        <v>15</v>
      </c>
      <c r="F200" s="61" t="n">
        <v>253.88</v>
      </c>
      <c r="G200" s="61" t="n">
        <v>1.84047</v>
      </c>
      <c r="H200" s="61" t="n">
        <v>0.27607</v>
      </c>
      <c r="I200" s="61" t="n">
        <f aca="false">(E200*F200)</f>
        <v>3808.2</v>
      </c>
      <c r="J200" s="66" t="n">
        <v>3806.08346</v>
      </c>
      <c r="K200" s="64" t="n">
        <f aca="false">J200-J33</f>
        <v>3806.08346</v>
      </c>
    </row>
    <row r="201" customFormat="false" ht="14.15" hidden="false" customHeight="false" outlineLevel="0" collapsed="false">
      <c r="A201" s="3"/>
      <c r="B201" s="59" t="n">
        <v>241</v>
      </c>
      <c r="C201" s="60" t="s">
        <v>84</v>
      </c>
      <c r="D201" s="59" t="s">
        <v>55</v>
      </c>
      <c r="E201" s="59" t="n">
        <v>15</v>
      </c>
      <c r="F201" s="61" t="n">
        <v>259.63</v>
      </c>
      <c r="G201" s="61" t="n">
        <v>1.84116</v>
      </c>
      <c r="H201" s="61" t="n">
        <v>0.27617</v>
      </c>
      <c r="I201" s="61" t="n">
        <f aca="false">(E201*F201)</f>
        <v>3894.45</v>
      </c>
      <c r="J201" s="66" t="n">
        <v>3892.33267</v>
      </c>
      <c r="K201" s="64" t="n">
        <f aca="false">J201-J34</f>
        <v>3892.33267</v>
      </c>
    </row>
    <row r="202" customFormat="false" ht="14.15" hidden="false" customHeight="false" outlineLevel="0" collapsed="false">
      <c r="A202" s="3"/>
      <c r="B202" s="59" t="n">
        <v>242</v>
      </c>
      <c r="C202" s="60" t="s">
        <v>84</v>
      </c>
      <c r="D202" s="59" t="s">
        <v>55</v>
      </c>
      <c r="E202" s="59" t="n">
        <v>30</v>
      </c>
      <c r="F202" s="61" t="n">
        <v>259.89</v>
      </c>
      <c r="G202" s="61" t="n">
        <v>1.87237</v>
      </c>
      <c r="H202" s="61" t="n">
        <v>0.28086</v>
      </c>
      <c r="I202" s="61" t="n">
        <f aca="false">(E202*F202)</f>
        <v>7796.7</v>
      </c>
      <c r="J202" s="66" t="n">
        <v>7794.54677</v>
      </c>
      <c r="K202" s="64" t="n">
        <f aca="false">J202-(J38+J39)</f>
        <v>7794.54677</v>
      </c>
    </row>
    <row r="203" customFormat="false" ht="14.15" hidden="false" customHeight="false" outlineLevel="0" collapsed="false">
      <c r="A203" s="3"/>
      <c r="B203" s="59" t="n">
        <v>243</v>
      </c>
      <c r="C203" s="60" t="s">
        <v>118</v>
      </c>
      <c r="D203" s="59" t="s">
        <v>55</v>
      </c>
      <c r="E203" s="59" t="n">
        <v>15</v>
      </c>
      <c r="F203" s="61" t="n">
        <v>251.54</v>
      </c>
      <c r="G203" s="61" t="n">
        <v>1.84018</v>
      </c>
      <c r="H203" s="61" t="n">
        <v>0.27603</v>
      </c>
      <c r="I203" s="61" t="n">
        <f aca="false">(E203*F203)</f>
        <v>3773.1</v>
      </c>
      <c r="J203" s="66" t="n">
        <v>3770.98379</v>
      </c>
      <c r="K203" s="64" t="n">
        <f aca="false">J203-J40</f>
        <v>3770.98379</v>
      </c>
    </row>
    <row r="204" customFormat="false" ht="14.15" hidden="false" customHeight="false" outlineLevel="0" collapsed="false">
      <c r="A204" s="3"/>
      <c r="B204" s="59" t="n">
        <v>244</v>
      </c>
      <c r="C204" s="60" t="s">
        <v>119</v>
      </c>
      <c r="D204" s="59" t="s">
        <v>55</v>
      </c>
      <c r="E204" s="59" t="n">
        <v>15</v>
      </c>
      <c r="F204" s="61" t="n">
        <v>247.9</v>
      </c>
      <c r="G204" s="61" t="n">
        <v>1.83975</v>
      </c>
      <c r="H204" s="61" t="n">
        <v>0.27596</v>
      </c>
      <c r="I204" s="61" t="n">
        <f aca="false">(E204*F204)</f>
        <v>3718.5</v>
      </c>
      <c r="J204" s="66" t="n">
        <v>3716.38429</v>
      </c>
      <c r="K204" s="64" t="n">
        <f aca="false">J204-J41</f>
        <v>3716.38429</v>
      </c>
    </row>
    <row r="205" customFormat="false" ht="14.15" hidden="false" customHeight="false" outlineLevel="0" collapsed="false">
      <c r="A205" s="3"/>
      <c r="B205" s="59" t="n">
        <v>245</v>
      </c>
      <c r="C205" s="60" t="s">
        <v>120</v>
      </c>
      <c r="D205" s="59" t="s">
        <v>55</v>
      </c>
      <c r="E205" s="59" t="n">
        <v>15</v>
      </c>
      <c r="F205" s="61" t="n">
        <v>252.12</v>
      </c>
      <c r="G205" s="61" t="n">
        <v>1.84025</v>
      </c>
      <c r="H205" s="61" t="n">
        <v>0.27604</v>
      </c>
      <c r="I205" s="61" t="n">
        <f aca="false">(E205*F205)</f>
        <v>3781.8</v>
      </c>
      <c r="J205" s="66" t="n">
        <v>3779.68371</v>
      </c>
      <c r="K205" s="64" t="n">
        <f aca="false">J205-J42</f>
        <v>3779.68371</v>
      </c>
    </row>
    <row r="206" customFormat="false" ht="14.15" hidden="false" customHeight="false" outlineLevel="0" collapsed="false">
      <c r="A206" s="3"/>
      <c r="B206" s="59" t="n">
        <v>246</v>
      </c>
      <c r="C206" s="60" t="s">
        <v>120</v>
      </c>
      <c r="D206" s="59" t="s">
        <v>55</v>
      </c>
      <c r="E206" s="59" t="n">
        <v>15</v>
      </c>
      <c r="F206" s="61" t="n">
        <v>252.33</v>
      </c>
      <c r="G206" s="61" t="n">
        <v>1.84028</v>
      </c>
      <c r="H206" s="61" t="n">
        <v>0.276504</v>
      </c>
      <c r="I206" s="61" t="n">
        <f aca="false">(E206*F206)</f>
        <v>3784.95</v>
      </c>
      <c r="J206" s="66" t="n">
        <v>3782.83368</v>
      </c>
      <c r="K206" s="64" t="n">
        <f aca="false">J206-J43</f>
        <v>3782.83368</v>
      </c>
    </row>
    <row r="207" customFormat="false" ht="14.15" hidden="false" customHeight="false" outlineLevel="0" collapsed="false">
      <c r="A207" s="3"/>
      <c r="B207" s="59" t="n">
        <v>247</v>
      </c>
      <c r="C207" s="60" t="s">
        <v>120</v>
      </c>
      <c r="D207" s="59" t="s">
        <v>55</v>
      </c>
      <c r="E207" s="59" t="n">
        <v>15</v>
      </c>
      <c r="F207" s="61" t="n">
        <v>252.1</v>
      </c>
      <c r="G207" s="61" t="n">
        <v>1.84025</v>
      </c>
      <c r="H207" s="61" t="n">
        <v>0.27604</v>
      </c>
      <c r="I207" s="61" t="n">
        <f aca="false">(E207*F207)</f>
        <v>3781.5</v>
      </c>
      <c r="J207" s="66" t="n">
        <v>3779.38371</v>
      </c>
      <c r="K207" s="64" t="n">
        <f aca="false">J207-J45</f>
        <v>-553.18629</v>
      </c>
    </row>
    <row r="208" customFormat="false" ht="14.15" hidden="false" customHeight="false" outlineLevel="0" collapsed="false">
      <c r="A208" s="3"/>
      <c r="B208" s="59" t="n">
        <v>248</v>
      </c>
      <c r="C208" s="60" t="s">
        <v>85</v>
      </c>
      <c r="D208" s="59" t="s">
        <v>55</v>
      </c>
      <c r="E208" s="59" t="n">
        <v>16</v>
      </c>
      <c r="F208" s="61" t="n">
        <v>249.18</v>
      </c>
      <c r="G208" s="61" t="n">
        <v>1.8419</v>
      </c>
      <c r="H208" s="61" t="n">
        <v>0.27629</v>
      </c>
      <c r="I208" s="61" t="n">
        <f aca="false">(E208*F208)</f>
        <v>3986.88</v>
      </c>
      <c r="J208" s="66" t="n">
        <v>3984.76181</v>
      </c>
      <c r="K208" s="64" t="n">
        <f aca="false">J208-J48</f>
        <v>285.19181</v>
      </c>
    </row>
    <row r="209" customFormat="false" ht="14.15" hidden="false" customHeight="false" outlineLevel="0" collapsed="false">
      <c r="A209" s="3"/>
      <c r="B209" s="59" t="n">
        <v>249</v>
      </c>
      <c r="C209" s="60" t="s">
        <v>85</v>
      </c>
      <c r="D209" s="59" t="s">
        <v>55</v>
      </c>
      <c r="E209" s="59" t="n">
        <v>15</v>
      </c>
      <c r="F209" s="61" t="n">
        <v>249.66</v>
      </c>
      <c r="G209" s="61" t="n">
        <v>1.83996</v>
      </c>
      <c r="H209" s="61" t="n">
        <v>0.27599</v>
      </c>
      <c r="I209" s="61" t="n">
        <f aca="false">(E209*F209)</f>
        <v>3744.9</v>
      </c>
      <c r="J209" s="66" t="n">
        <v>3742.78405</v>
      </c>
      <c r="K209" s="64" t="n">
        <f aca="false">J209-J46</f>
        <v>-571.78595</v>
      </c>
    </row>
    <row r="210" customFormat="false" ht="14.15" hidden="false" customHeight="false" outlineLevel="0" collapsed="false">
      <c r="A210" s="3"/>
      <c r="B210" s="59" t="n">
        <v>250</v>
      </c>
      <c r="C210" s="60" t="s">
        <v>121</v>
      </c>
      <c r="D210" s="59" t="s">
        <v>55</v>
      </c>
      <c r="E210" s="59" t="n">
        <v>15</v>
      </c>
      <c r="F210" s="61" t="n">
        <v>249.15</v>
      </c>
      <c r="G210" s="61" t="n">
        <v>1.8399</v>
      </c>
      <c r="H210" s="61" t="n">
        <v>0.27598</v>
      </c>
      <c r="I210" s="61" t="n">
        <f aca="false">(E210*F210)</f>
        <v>3737.25</v>
      </c>
      <c r="J210" s="66" t="n">
        <v>3735.13412</v>
      </c>
      <c r="K210" s="64" t="n">
        <v>100</v>
      </c>
    </row>
    <row r="211" customFormat="false" ht="14.15" hidden="false" customHeight="false" outlineLevel="0" collapsed="false">
      <c r="A211" s="3"/>
      <c r="B211" s="59" t="n">
        <v>251</v>
      </c>
      <c r="C211" s="60" t="s">
        <v>86</v>
      </c>
      <c r="D211" s="59" t="s">
        <v>55</v>
      </c>
      <c r="E211" s="59" t="n">
        <v>15</v>
      </c>
      <c r="F211" s="61" t="n">
        <v>232.78</v>
      </c>
      <c r="G211" s="61" t="n">
        <v>1.83793</v>
      </c>
      <c r="H211" s="61" t="n">
        <v>0.27569</v>
      </c>
      <c r="I211" s="61" t="n">
        <f aca="false">(E211*F211)</f>
        <v>3491.7</v>
      </c>
      <c r="J211" s="66" t="n">
        <v>3489.58638</v>
      </c>
      <c r="K211" s="64" t="n">
        <f aca="false">J211-J6</f>
        <v>3489.58638</v>
      </c>
    </row>
    <row r="212" customFormat="false" ht="14.15" hidden="false" customHeight="false" outlineLevel="0" collapsed="false">
      <c r="A212" s="3"/>
      <c r="B212" s="59" t="n">
        <v>252</v>
      </c>
      <c r="C212" s="60" t="s">
        <v>122</v>
      </c>
      <c r="D212" s="59" t="s">
        <v>55</v>
      </c>
      <c r="E212" s="59" t="n">
        <v>15</v>
      </c>
      <c r="F212" s="61" t="n">
        <v>243.19</v>
      </c>
      <c r="G212" s="61" t="n">
        <v>1.83918</v>
      </c>
      <c r="H212" s="61" t="n">
        <v>0.27588</v>
      </c>
      <c r="I212" s="61" t="n">
        <f aca="false">(E212*F212)</f>
        <v>3647.85</v>
      </c>
      <c r="J212" s="66" t="n">
        <v>3645.73494</v>
      </c>
      <c r="K212" s="64" t="n">
        <f aca="false">J212-J49</f>
        <v>-977.13506</v>
      </c>
    </row>
    <row r="213" customFormat="false" ht="14.15" hidden="false" customHeight="false" outlineLevel="0" collapsed="false">
      <c r="A213" s="3"/>
      <c r="B213" s="59" t="n">
        <v>253</v>
      </c>
      <c r="C213" s="60" t="s">
        <v>88</v>
      </c>
      <c r="D213" s="59" t="s">
        <v>55</v>
      </c>
      <c r="E213" s="59" t="n">
        <v>15</v>
      </c>
      <c r="F213" s="61" t="n">
        <v>248.24</v>
      </c>
      <c r="G213" s="61" t="n">
        <v>1.83979</v>
      </c>
      <c r="H213" s="61" t="n">
        <v>0.27597</v>
      </c>
      <c r="I213" s="61" t="n">
        <f aca="false">(E213*F213)</f>
        <v>3723.6</v>
      </c>
      <c r="J213" s="66" t="n">
        <v>3721.48424</v>
      </c>
      <c r="K213" s="64" t="n">
        <f aca="false">J213-J47</f>
        <v>289.81424</v>
      </c>
    </row>
    <row r="214" customFormat="false" ht="14.15" hidden="false" customHeight="false" outlineLevel="0" collapsed="false">
      <c r="A214" s="3"/>
      <c r="B214" s="59" t="n">
        <v>263</v>
      </c>
      <c r="C214" s="60" t="s">
        <v>123</v>
      </c>
      <c r="D214" s="59" t="s">
        <v>55</v>
      </c>
      <c r="E214" s="59" t="n">
        <v>17</v>
      </c>
      <c r="F214" s="61" t="n">
        <v>476.32</v>
      </c>
      <c r="G214" s="61" t="n">
        <v>1.87478</v>
      </c>
      <c r="H214" s="61" t="n">
        <v>0.28122</v>
      </c>
      <c r="I214" s="61" t="n">
        <f aca="false">(E214*F214)</f>
        <v>8097.44</v>
      </c>
      <c r="J214" s="66" t="n">
        <v>8095.28</v>
      </c>
      <c r="K214" s="64" t="n">
        <f aca="false">J214-J42</f>
        <v>8095.28</v>
      </c>
    </row>
    <row r="215" customFormat="false" ht="14.15" hidden="false" customHeight="false" outlineLevel="0" collapsed="false">
      <c r="A215" s="3"/>
      <c r="B215" s="59" t="n">
        <v>264</v>
      </c>
      <c r="C215" s="60" t="s">
        <v>124</v>
      </c>
      <c r="D215" s="59" t="s">
        <v>55</v>
      </c>
      <c r="E215" s="59" t="n">
        <v>17</v>
      </c>
      <c r="F215" s="61" t="n">
        <v>410.3</v>
      </c>
      <c r="G215" s="61" t="n">
        <v>1.8658</v>
      </c>
      <c r="H215" s="61" t="n">
        <v>0.27987</v>
      </c>
      <c r="I215" s="61" t="n">
        <f aca="false">(E215*F215)</f>
        <v>6975.1</v>
      </c>
      <c r="J215" s="66" t="n">
        <v>6972.95433</v>
      </c>
      <c r="K215" s="64" t="n">
        <f aca="false">J215-J56</f>
        <v>3402.38433</v>
      </c>
    </row>
    <row r="216" customFormat="false" ht="14.15" hidden="false" customHeight="false" outlineLevel="0" collapsed="false">
      <c r="A216" s="3"/>
      <c r="B216" s="59" t="n">
        <v>265</v>
      </c>
      <c r="C216" s="60" t="s">
        <v>125</v>
      </c>
      <c r="D216" s="59" t="s">
        <v>55</v>
      </c>
      <c r="E216" s="59" t="n">
        <v>19</v>
      </c>
      <c r="F216" s="61" t="n">
        <v>412.43</v>
      </c>
      <c r="G216" s="61" t="n">
        <v>1.87269</v>
      </c>
      <c r="H216" s="61" t="n">
        <v>0.2809</v>
      </c>
      <c r="I216" s="61" t="n">
        <f aca="false">(E216*F216)</f>
        <v>7836.17</v>
      </c>
      <c r="J216" s="66" t="n">
        <v>7834.01641</v>
      </c>
      <c r="K216" s="64" t="n">
        <f aca="false">J216-J57</f>
        <v>3103.94641</v>
      </c>
    </row>
    <row r="217" customFormat="false" ht="14.15" hidden="false" customHeight="false" outlineLevel="0" collapsed="false">
      <c r="A217" s="3"/>
      <c r="B217" s="59" t="n">
        <v>266</v>
      </c>
      <c r="C217" s="60" t="s">
        <v>126</v>
      </c>
      <c r="D217" s="59" t="s">
        <v>55</v>
      </c>
      <c r="E217" s="59" t="n">
        <v>18</v>
      </c>
      <c r="F217" s="61" t="n">
        <v>418.98</v>
      </c>
      <c r="G217" s="61" t="n">
        <v>1.87033</v>
      </c>
      <c r="H217" s="61" t="n">
        <v>0.28055</v>
      </c>
      <c r="I217" s="61" t="n">
        <f aca="false">(E217*F217)</f>
        <v>7541.64</v>
      </c>
      <c r="J217" s="66" t="n">
        <v>7539.48912</v>
      </c>
      <c r="K217" s="64" t="n">
        <f aca="false">J217-J59</f>
        <v>3998.02362</v>
      </c>
    </row>
    <row r="218" customFormat="false" ht="14.15" hidden="false" customHeight="false" outlineLevel="0" collapsed="false">
      <c r="A218" s="3"/>
      <c r="B218" s="59" t="n">
        <v>267</v>
      </c>
      <c r="C218" s="60" t="s">
        <v>127</v>
      </c>
      <c r="D218" s="59" t="s">
        <v>55</v>
      </c>
      <c r="E218" s="59" t="n">
        <v>18</v>
      </c>
      <c r="F218" s="61" t="n">
        <v>411.11</v>
      </c>
      <c r="G218" s="61" t="n">
        <v>1.8692</v>
      </c>
      <c r="H218" s="61" t="n">
        <v>0.28038</v>
      </c>
      <c r="I218" s="61" t="n">
        <f aca="false">(E218*F218)</f>
        <v>7399.98</v>
      </c>
      <c r="J218" s="66" t="n">
        <v>7397.83042</v>
      </c>
      <c r="K218" s="64" t="n">
        <f aca="false">J218-J60</f>
        <v>3863.56042</v>
      </c>
    </row>
    <row r="219" customFormat="false" ht="14.15" hidden="false" customHeight="false" outlineLevel="0" collapsed="false">
      <c r="A219" s="3"/>
      <c r="B219" s="59" t="n">
        <v>268</v>
      </c>
      <c r="C219" s="60" t="s">
        <v>128</v>
      </c>
      <c r="D219" s="59" t="s">
        <v>55</v>
      </c>
      <c r="E219" s="59" t="n">
        <v>20</v>
      </c>
      <c r="F219" s="61" t="n">
        <v>391.06</v>
      </c>
      <c r="G219" s="61" t="n">
        <v>1.81</v>
      </c>
      <c r="H219" s="61" t="n">
        <v>0.27</v>
      </c>
      <c r="I219" s="61" t="n">
        <f aca="false">(E219*F219)</f>
        <v>7821.2</v>
      </c>
      <c r="J219" s="66" t="n">
        <v>7819.12</v>
      </c>
      <c r="K219" s="64" t="n">
        <f aca="false">J219-J61</f>
        <v>4297.1515</v>
      </c>
    </row>
    <row r="220" customFormat="false" ht="14.15" hidden="false" customHeight="false" outlineLevel="0" collapsed="false">
      <c r="A220" s="3"/>
      <c r="B220" s="59" t="n">
        <v>269</v>
      </c>
      <c r="C220" s="60" t="s">
        <v>129</v>
      </c>
      <c r="D220" s="59" t="s">
        <v>55</v>
      </c>
      <c r="E220" s="59" t="n">
        <v>20</v>
      </c>
      <c r="F220" s="61" t="n">
        <v>408.81</v>
      </c>
      <c r="G220" s="61" t="n">
        <v>1.81</v>
      </c>
      <c r="H220" s="61" t="n">
        <v>0.27</v>
      </c>
      <c r="I220" s="61" t="n">
        <f aca="false">(E220*F220)</f>
        <v>8176.2</v>
      </c>
      <c r="J220" s="66" t="n">
        <v>8174.11599</v>
      </c>
      <c r="K220" s="64" t="n">
        <f aca="false">J220-J58</f>
        <v>3469.84799</v>
      </c>
    </row>
    <row r="221" customFormat="false" ht="14.15" hidden="false" customHeight="false" outlineLevel="0" collapsed="false">
      <c r="A221" s="3"/>
      <c r="B221" s="59" t="n">
        <v>270</v>
      </c>
      <c r="C221" s="60" t="s">
        <v>130</v>
      </c>
      <c r="D221" s="59" t="s">
        <v>55</v>
      </c>
      <c r="E221" s="59" t="n">
        <v>15</v>
      </c>
      <c r="F221" s="61" t="n">
        <v>454.10333</v>
      </c>
      <c r="G221" s="61" t="n">
        <v>1.81164</v>
      </c>
      <c r="H221" s="61" t="n">
        <v>0.27175</v>
      </c>
      <c r="I221" s="61" t="n">
        <f aca="false">(E221*F221)</f>
        <v>6811.54995</v>
      </c>
      <c r="J221" s="66" t="n">
        <v>6809.46661</v>
      </c>
      <c r="K221" s="64" t="n">
        <f aca="false">J221-J66</f>
        <v>3296.34961</v>
      </c>
    </row>
    <row r="222" customFormat="false" ht="14.15" hidden="false" customHeight="false" outlineLevel="0" collapsed="false">
      <c r="A222" s="3"/>
      <c r="B222" s="59" t="n">
        <v>271</v>
      </c>
      <c r="C222" s="60" t="s">
        <v>130</v>
      </c>
      <c r="D222" s="59" t="s">
        <v>55</v>
      </c>
      <c r="E222" s="59" t="n">
        <v>22</v>
      </c>
      <c r="F222" s="61" t="n">
        <v>447.67</v>
      </c>
      <c r="G222" s="61" t="n">
        <v>1.8124</v>
      </c>
      <c r="H222" s="61" t="n">
        <v>0.27186</v>
      </c>
      <c r="I222" s="61" t="n">
        <f aca="false">(E222*F222)</f>
        <v>9848.74</v>
      </c>
      <c r="J222" s="66" t="n">
        <v>9846.65574</v>
      </c>
      <c r="K222" s="64" t="n">
        <f aca="false">J222-(J67+J68)</f>
        <v>2276.81574</v>
      </c>
    </row>
    <row r="223" customFormat="false" ht="14.15" hidden="false" customHeight="false" outlineLevel="0" collapsed="false">
      <c r="A223" s="3"/>
      <c r="B223" s="59" t="n">
        <v>272</v>
      </c>
      <c r="C223" s="60" t="s">
        <v>100</v>
      </c>
      <c r="D223" s="59" t="s">
        <v>55</v>
      </c>
      <c r="E223" s="59" t="n">
        <v>15</v>
      </c>
      <c r="F223" s="61" t="n">
        <v>424.28</v>
      </c>
      <c r="G223" s="61" t="n">
        <v>1.81164</v>
      </c>
      <c r="H223" s="61" t="n">
        <v>0.27175</v>
      </c>
      <c r="I223" s="61" t="n">
        <f aca="false">(E223*F223)</f>
        <v>6364.2</v>
      </c>
      <c r="J223" s="66" t="n">
        <v>6362.11661</v>
      </c>
      <c r="K223" s="64" t="n">
        <f aca="false">J223-J69</f>
        <v>2326.84661</v>
      </c>
    </row>
    <row r="224" customFormat="false" ht="14.15" hidden="false" customHeight="false" outlineLevel="0" collapsed="false">
      <c r="A224" s="3"/>
      <c r="B224" s="59" t="n">
        <v>273</v>
      </c>
      <c r="C224" s="60" t="s">
        <v>100</v>
      </c>
      <c r="D224" s="59" t="s">
        <v>55</v>
      </c>
      <c r="E224" s="59" t="n">
        <v>15</v>
      </c>
      <c r="F224" s="61" t="n">
        <v>419.45</v>
      </c>
      <c r="G224" s="61" t="n">
        <v>1.81164</v>
      </c>
      <c r="H224" s="61" t="n">
        <v>0.27175</v>
      </c>
      <c r="I224" s="61" t="n">
        <f aca="false">(E224*F224)</f>
        <v>6291.75</v>
      </c>
      <c r="J224" s="66" t="n">
        <v>6289.66661</v>
      </c>
      <c r="K224" s="64" t="n">
        <f aca="false">J224-J70</f>
        <v>2193.64661</v>
      </c>
    </row>
    <row r="225" customFormat="false" ht="14.15" hidden="false" customHeight="false" outlineLevel="0" collapsed="false">
      <c r="A225" s="3"/>
      <c r="B225" s="59" t="n">
        <v>274</v>
      </c>
      <c r="C225" s="60" t="s">
        <v>131</v>
      </c>
      <c r="D225" s="59" t="s">
        <v>55</v>
      </c>
      <c r="E225" s="59" t="n">
        <v>15</v>
      </c>
      <c r="F225" s="61" t="n">
        <v>436.77</v>
      </c>
      <c r="G225" s="61" t="n">
        <v>1.81164</v>
      </c>
      <c r="H225" s="61" t="n">
        <v>0.27175</v>
      </c>
      <c r="I225" s="61" t="n">
        <f aca="false">(E225*F225)</f>
        <v>6551.55</v>
      </c>
      <c r="J225" s="66" t="n">
        <v>6549.4661</v>
      </c>
      <c r="K225" s="64" t="n">
        <f aca="false">J225-J71</f>
        <v>2462.2961</v>
      </c>
    </row>
    <row r="226" customFormat="false" ht="14.15" hidden="false" customHeight="false" outlineLevel="0" collapsed="false">
      <c r="A226" s="3"/>
      <c r="B226" s="59" t="n">
        <v>275</v>
      </c>
      <c r="C226" s="60" t="s">
        <v>132</v>
      </c>
      <c r="D226" s="59" t="s">
        <v>55</v>
      </c>
      <c r="E226" s="59" t="n">
        <v>37</v>
      </c>
      <c r="F226" s="61" t="n">
        <v>446.34</v>
      </c>
      <c r="G226" s="61" t="n">
        <v>1.81403</v>
      </c>
      <c r="H226" s="61" t="n">
        <v>0.2721</v>
      </c>
      <c r="I226" s="61" t="n">
        <f aca="false">(E226*F226)</f>
        <v>16514.58</v>
      </c>
      <c r="J226" s="66" t="n">
        <v>16512.49387</v>
      </c>
      <c r="K226" s="64" t="n">
        <f aca="false">J226-(J72+J73)</f>
        <v>8276.97637</v>
      </c>
    </row>
    <row r="227" customFormat="false" ht="12.8" hidden="false" customHeight="false" outlineLevel="0" collapsed="false">
      <c r="A227" s="1" t="s">
        <v>133</v>
      </c>
      <c r="B227" s="56"/>
      <c r="C227" s="56"/>
      <c r="D227" s="56"/>
      <c r="E227" s="57" t="n">
        <f aca="false">SUM(E161:E226)</f>
        <v>1351</v>
      </c>
      <c r="F227" s="56"/>
      <c r="G227" s="56"/>
      <c r="H227" s="56"/>
      <c r="I227" s="56"/>
      <c r="J227" s="56"/>
      <c r="K227" s="56"/>
    </row>
  </sheetData>
  <mergeCells count="7">
    <mergeCell ref="C3:G3"/>
    <mergeCell ref="B32:D32"/>
    <mergeCell ref="C33:G33"/>
    <mergeCell ref="B38:D38"/>
    <mergeCell ref="B43:J43"/>
    <mergeCell ref="M44:N44"/>
    <mergeCell ref="B159:K159"/>
  </mergeCells>
  <conditionalFormatting sqref="K161:K226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2025-12-17T13:29:43Z</dcterms:created>
  <dc:creator/>
  <dc:description/>
  <dc:language>en-US</dc:language>
  <cp:lastModifiedBy/>
  <dcterms:modified xsi:type="dcterms:W3CDTF">2025-12-17T14:03:15Z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